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bre\Documents\www\interviews_cs\survey\"/>
    </mc:Choice>
  </mc:AlternateContent>
  <bookViews>
    <workbookView xWindow="0" yWindow="735" windowWidth="12960" windowHeight="5865" tabRatio="831"/>
  </bookViews>
  <sheets>
    <sheet name="Elections" sheetId="11" r:id="rId1"/>
    <sheet name="features" sheetId="7" r:id="rId2"/>
    <sheet name="Quotas" sheetId="18" r:id="rId3"/>
    <sheet name="Income" sheetId="5" r:id="rId4"/>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D28" i="18" l="1"/>
  <c r="AC28" i="18"/>
  <c r="AB28" i="18"/>
  <c r="Z28" i="18"/>
  <c r="Y28" i="18"/>
  <c r="X28" i="18"/>
  <c r="W28" i="18"/>
  <c r="V28" i="18"/>
  <c r="U28" i="18"/>
  <c r="T28" i="18"/>
  <c r="S28" i="18"/>
  <c r="R28" i="18"/>
  <c r="Q28" i="18"/>
  <c r="P28" i="18"/>
  <c r="O28" i="18"/>
  <c r="K28" i="18"/>
  <c r="J28" i="18"/>
  <c r="I28" i="18"/>
  <c r="H28" i="18"/>
  <c r="G28" i="18"/>
  <c r="F28" i="18"/>
  <c r="E28" i="18"/>
  <c r="AD27" i="18"/>
  <c r="AC27" i="18"/>
  <c r="AB27" i="18"/>
  <c r="AA27" i="18"/>
  <c r="Z27" i="18"/>
  <c r="Y27" i="18"/>
  <c r="X27" i="18"/>
  <c r="W27" i="18"/>
  <c r="V27" i="18"/>
  <c r="U27" i="18"/>
  <c r="T27" i="18"/>
  <c r="S27" i="18"/>
  <c r="R27" i="18"/>
  <c r="Q27" i="18"/>
  <c r="P27" i="18"/>
  <c r="O27" i="18"/>
  <c r="K27" i="18"/>
  <c r="J27" i="18"/>
  <c r="I27" i="18"/>
  <c r="H27" i="18"/>
  <c r="G27" i="18"/>
  <c r="F27" i="18"/>
  <c r="E27" i="18"/>
  <c r="Z26" i="18"/>
  <c r="Y26" i="18"/>
  <c r="X26" i="18"/>
  <c r="W26" i="18"/>
  <c r="V26" i="18"/>
  <c r="U26" i="18"/>
  <c r="T26" i="18"/>
  <c r="S26" i="18"/>
  <c r="R26" i="18"/>
  <c r="Q26" i="18"/>
  <c r="P26" i="18"/>
  <c r="O26" i="18"/>
  <c r="K26" i="18"/>
  <c r="J26" i="18"/>
  <c r="I26" i="18"/>
  <c r="H26" i="18"/>
  <c r="G26" i="18"/>
  <c r="F26" i="18"/>
  <c r="E26" i="18"/>
  <c r="Z25" i="18"/>
  <c r="Y25" i="18"/>
  <c r="X25" i="18"/>
  <c r="W25" i="18"/>
  <c r="V25" i="18"/>
  <c r="U25" i="18"/>
  <c r="T25" i="18"/>
  <c r="S25" i="18"/>
  <c r="R25" i="18"/>
  <c r="P25" i="18"/>
  <c r="O25" i="18"/>
  <c r="M25" i="18"/>
  <c r="L25" i="18"/>
  <c r="K25" i="18"/>
  <c r="J25" i="18"/>
  <c r="I25" i="18"/>
  <c r="H25" i="18"/>
  <c r="G25" i="18"/>
  <c r="F25" i="18"/>
  <c r="E25" i="18"/>
  <c r="Z24" i="18"/>
  <c r="Y24" i="18"/>
  <c r="X24" i="18"/>
  <c r="W24" i="18"/>
  <c r="V24" i="18"/>
  <c r="U24" i="18"/>
  <c r="T24" i="18"/>
  <c r="S24" i="18"/>
  <c r="R24" i="18"/>
  <c r="Q24" i="18"/>
  <c r="P24" i="18"/>
  <c r="O24" i="18"/>
  <c r="M24" i="18"/>
  <c r="L24" i="18"/>
  <c r="K24" i="18"/>
  <c r="J24" i="18"/>
  <c r="I24" i="18"/>
  <c r="H24" i="18"/>
  <c r="G24" i="18"/>
  <c r="F24" i="18"/>
  <c r="E24" i="18"/>
  <c r="Z23" i="18"/>
  <c r="Y23" i="18"/>
  <c r="X23" i="18"/>
  <c r="W23" i="18"/>
  <c r="V23" i="18"/>
  <c r="U23" i="18"/>
  <c r="T23" i="18"/>
  <c r="S23" i="18"/>
  <c r="R23" i="18"/>
  <c r="Q23" i="18"/>
  <c r="P23" i="18"/>
  <c r="O23" i="18"/>
  <c r="K23" i="18"/>
  <c r="J23" i="18"/>
  <c r="I23" i="18"/>
  <c r="H23" i="18"/>
  <c r="G23" i="18"/>
  <c r="F23" i="18"/>
  <c r="E23" i="18"/>
  <c r="Z22" i="18"/>
  <c r="Y22" i="18"/>
  <c r="X22" i="18"/>
  <c r="W22" i="18"/>
  <c r="V22" i="18"/>
  <c r="U22" i="18"/>
  <c r="T22" i="18"/>
  <c r="S22" i="18"/>
  <c r="R22" i="18"/>
  <c r="Q22" i="18"/>
  <c r="P22" i="18"/>
  <c r="O22" i="18"/>
  <c r="N22" i="18"/>
  <c r="M22" i="18"/>
  <c r="L22" i="18"/>
  <c r="K22" i="18"/>
  <c r="J22" i="18"/>
  <c r="I22" i="18"/>
  <c r="H22" i="18"/>
  <c r="G22" i="18"/>
  <c r="F22" i="18"/>
  <c r="E22" i="18"/>
  <c r="Z21" i="18"/>
  <c r="Y21" i="18"/>
  <c r="X21" i="18"/>
  <c r="W21" i="18"/>
  <c r="V21" i="18"/>
  <c r="U21" i="18"/>
  <c r="T21" i="18"/>
  <c r="S21" i="18"/>
  <c r="R21" i="18"/>
  <c r="Q21" i="18"/>
  <c r="P21" i="18"/>
  <c r="O21" i="18"/>
  <c r="K21" i="18"/>
  <c r="J21" i="18"/>
  <c r="I21" i="18"/>
  <c r="H21" i="18"/>
  <c r="G21" i="18"/>
  <c r="F21" i="18"/>
  <c r="E21" i="18"/>
  <c r="C21" i="18"/>
  <c r="AH3" i="18" s="1"/>
  <c r="Z20" i="18"/>
  <c r="Y20" i="18"/>
  <c r="X20" i="18"/>
  <c r="V20" i="18"/>
  <c r="U20" i="18"/>
  <c r="T20" i="18"/>
  <c r="S20" i="18"/>
  <c r="R20" i="18"/>
  <c r="Q20" i="18"/>
  <c r="P20" i="18"/>
  <c r="O20" i="18"/>
  <c r="N20" i="18"/>
  <c r="M20" i="18"/>
  <c r="L20" i="18"/>
  <c r="K20" i="18"/>
  <c r="J20" i="18"/>
  <c r="I20" i="18"/>
  <c r="H20" i="18"/>
  <c r="G20" i="18"/>
  <c r="F20" i="18"/>
  <c r="E20" i="18"/>
  <c r="C20" i="18"/>
  <c r="AG17" i="18" s="1"/>
  <c r="Z19" i="18"/>
  <c r="Y19" i="18"/>
  <c r="X19" i="18"/>
  <c r="W19" i="18"/>
  <c r="V19" i="18"/>
  <c r="U19" i="18"/>
  <c r="T19" i="18"/>
  <c r="S19" i="18"/>
  <c r="R19" i="18"/>
  <c r="Q19" i="18"/>
  <c r="P19" i="18"/>
  <c r="O19" i="18"/>
  <c r="M19" i="18"/>
  <c r="L19" i="18"/>
  <c r="K19" i="18"/>
  <c r="J19" i="18"/>
  <c r="I19" i="18"/>
  <c r="H19" i="18"/>
  <c r="G19" i="18"/>
  <c r="F19" i="18"/>
  <c r="E19" i="18"/>
  <c r="C19" i="18"/>
  <c r="BB3" i="18" s="1"/>
  <c r="Z18" i="18"/>
  <c r="Y18" i="18"/>
  <c r="X18" i="18"/>
  <c r="W18" i="18"/>
  <c r="V18" i="18"/>
  <c r="U18" i="18"/>
  <c r="T18" i="18"/>
  <c r="S18" i="18"/>
  <c r="R18" i="18"/>
  <c r="Q18" i="18"/>
  <c r="P18" i="18"/>
  <c r="O18" i="18"/>
  <c r="M18" i="18"/>
  <c r="L18" i="18"/>
  <c r="K18" i="18"/>
  <c r="J18" i="18"/>
  <c r="I18" i="18"/>
  <c r="H18" i="18"/>
  <c r="G18" i="18"/>
  <c r="F18" i="18"/>
  <c r="E18" i="18"/>
  <c r="C18" i="18"/>
  <c r="AK17" i="18"/>
  <c r="AJ17" i="18"/>
  <c r="AF17" i="18"/>
  <c r="B17" i="18"/>
  <c r="C22" i="18" s="1"/>
  <c r="BE15" i="18"/>
  <c r="AT15" i="18"/>
  <c r="AS15" i="18"/>
  <c r="AR15" i="18"/>
  <c r="AA15" i="18"/>
  <c r="AA28" i="18" s="1"/>
  <c r="N15" i="18"/>
  <c r="N28" i="18" s="1"/>
  <c r="M15" i="18"/>
  <c r="M28" i="18" s="1"/>
  <c r="L15" i="18"/>
  <c r="L28" i="18" s="1"/>
  <c r="AT14" i="18"/>
  <c r="AS14" i="18"/>
  <c r="AR14" i="18"/>
  <c r="N14" i="18"/>
  <c r="N27" i="18" s="1"/>
  <c r="M14" i="18"/>
  <c r="M27" i="18" s="1"/>
  <c r="L14" i="18"/>
  <c r="L2" i="18" s="1"/>
  <c r="AT13" i="18"/>
  <c r="AT2" i="18" s="1"/>
  <c r="AS13" i="18"/>
  <c r="AR13" i="18"/>
  <c r="N13" i="18"/>
  <c r="N26" i="18" s="1"/>
  <c r="M13" i="18"/>
  <c r="M26" i="18" s="1"/>
  <c r="L13" i="18"/>
  <c r="L26" i="18" s="1"/>
  <c r="BE12" i="18"/>
  <c r="AT12" i="18"/>
  <c r="AS12" i="18"/>
  <c r="AR12" i="18"/>
  <c r="N12" i="18"/>
  <c r="N25" i="18" s="1"/>
  <c r="M12" i="18"/>
  <c r="L12" i="18"/>
  <c r="BE11" i="18"/>
  <c r="AT11" i="18"/>
  <c r="AS11" i="18"/>
  <c r="AR11" i="18"/>
  <c r="N11" i="18"/>
  <c r="N24" i="18" s="1"/>
  <c r="M11" i="18"/>
  <c r="L11" i="18"/>
  <c r="BE10" i="18"/>
  <c r="AT10" i="18"/>
  <c r="AS10" i="18"/>
  <c r="AR10" i="18"/>
  <c r="N10" i="18"/>
  <c r="N23" i="18" s="1"/>
  <c r="M10" i="18"/>
  <c r="M23" i="18" s="1"/>
  <c r="L10" i="18"/>
  <c r="L23" i="18" s="1"/>
  <c r="C10" i="18"/>
  <c r="BE9" i="18"/>
  <c r="AT9" i="18"/>
  <c r="AS9" i="18"/>
  <c r="AR9" i="18"/>
  <c r="N9" i="18"/>
  <c r="M9" i="18"/>
  <c r="L9" i="18"/>
  <c r="BE8" i="18"/>
  <c r="AT8" i="18"/>
  <c r="AS8" i="18"/>
  <c r="AR8" i="18"/>
  <c r="N8" i="18"/>
  <c r="N21" i="18" s="1"/>
  <c r="M8" i="18"/>
  <c r="M21" i="18" s="1"/>
  <c r="L8" i="18"/>
  <c r="L21" i="18" s="1"/>
  <c r="C8" i="18"/>
  <c r="BE7" i="18"/>
  <c r="AT7" i="18"/>
  <c r="AS7" i="18"/>
  <c r="AR7" i="18"/>
  <c r="W7" i="18"/>
  <c r="W20" i="18" s="1"/>
  <c r="N7" i="18"/>
  <c r="M7" i="18"/>
  <c r="L7" i="18"/>
  <c r="C7" i="18"/>
  <c r="BE6" i="18"/>
  <c r="AT6" i="18"/>
  <c r="AS6" i="18"/>
  <c r="AR6" i="18"/>
  <c r="AR2" i="18" s="1"/>
  <c r="N6" i="18"/>
  <c r="N2" i="18" s="1"/>
  <c r="M6" i="18"/>
  <c r="L6" i="18"/>
  <c r="C6" i="18"/>
  <c r="BE5" i="18"/>
  <c r="AT5" i="18"/>
  <c r="AS5" i="18"/>
  <c r="AS2" i="18" s="1"/>
  <c r="AR5" i="18"/>
  <c r="N5" i="18"/>
  <c r="N18" i="18" s="1"/>
  <c r="M5" i="18"/>
  <c r="L5" i="18"/>
  <c r="C5" i="18"/>
  <c r="AJ4" i="18"/>
  <c r="AH4" i="18"/>
  <c r="AG4" i="18"/>
  <c r="AF4" i="18"/>
  <c r="AE4" i="18"/>
  <c r="B4" i="18"/>
  <c r="C11" i="18" s="1"/>
  <c r="AK4" i="18" s="1"/>
  <c r="AF3" i="18"/>
  <c r="AE3" i="18"/>
  <c r="B3" i="18"/>
  <c r="BE2" i="18"/>
  <c r="BD2" i="18"/>
  <c r="BC2" i="18"/>
  <c r="BB2" i="18"/>
  <c r="BA2" i="18"/>
  <c r="AX2" i="18"/>
  <c r="AW2" i="18"/>
  <c r="AV2" i="18"/>
  <c r="AU2" i="18"/>
  <c r="AQ2" i="18"/>
  <c r="AP2" i="18"/>
  <c r="AO2" i="18"/>
  <c r="AN2" i="18"/>
  <c r="AM2" i="18"/>
  <c r="AL2" i="18"/>
  <c r="U2" i="18"/>
  <c r="R2" i="18"/>
  <c r="Q2" i="18"/>
  <c r="P2" i="18"/>
  <c r="O2" i="18"/>
  <c r="M2" i="18"/>
  <c r="K2" i="18"/>
  <c r="J2" i="18"/>
  <c r="I2" i="18"/>
  <c r="H2" i="18"/>
  <c r="G2" i="18"/>
  <c r="F2" i="18"/>
  <c r="E2" i="18"/>
  <c r="B2" i="18"/>
  <c r="AZ2" i="18" s="1"/>
  <c r="K17" i="18" l="1"/>
  <c r="AI17" i="18"/>
  <c r="AI3" i="18"/>
  <c r="AX3" i="18"/>
  <c r="G3" i="18"/>
  <c r="AP17" i="18"/>
  <c r="Q3" i="18"/>
  <c r="V17" i="18"/>
  <c r="AR3" i="18"/>
  <c r="E17" i="18"/>
  <c r="U4" i="18"/>
  <c r="AS4" i="18"/>
  <c r="AO17" i="18"/>
  <c r="W17" i="18"/>
  <c r="G17" i="18"/>
  <c r="X17" i="18"/>
  <c r="AS3" i="18"/>
  <c r="AQ17" i="18"/>
  <c r="S3" i="18"/>
  <c r="T3" i="18"/>
  <c r="AU3" i="18"/>
  <c r="H17" i="18"/>
  <c r="Y17" i="18"/>
  <c r="N19" i="18"/>
  <c r="L27" i="18"/>
  <c r="AT3" i="18"/>
  <c r="E3" i="18"/>
  <c r="U3" i="18"/>
  <c r="AV3" i="18"/>
  <c r="J4" i="18"/>
  <c r="AY4" i="18"/>
  <c r="I17" i="18"/>
  <c r="Z17" i="18"/>
  <c r="R3" i="18"/>
  <c r="F17" i="18"/>
  <c r="F3" i="18"/>
  <c r="AW3" i="18"/>
  <c r="K4" i="18"/>
  <c r="AZ4" i="18"/>
  <c r="J17" i="18"/>
  <c r="AE17" i="18"/>
  <c r="H3" i="18"/>
  <c r="AG3" i="18"/>
  <c r="I3" i="18"/>
  <c r="AZ3" i="18"/>
  <c r="K3" i="18"/>
  <c r="AL3" i="18"/>
  <c r="Q17" i="18"/>
  <c r="AH17" i="18"/>
  <c r="J3" i="18"/>
  <c r="O17" i="18"/>
  <c r="AO4" i="18"/>
  <c r="P17" i="18"/>
  <c r="L3" i="18"/>
  <c r="AM3" i="18"/>
  <c r="AP4" i="18"/>
  <c r="S2" i="18"/>
  <c r="AY2" i="18"/>
  <c r="M3" i="18"/>
  <c r="AN3" i="18"/>
  <c r="BD3" i="18"/>
  <c r="R4" i="18"/>
  <c r="C9" i="18"/>
  <c r="R17" i="18"/>
  <c r="AL17" i="18"/>
  <c r="P4" i="18"/>
  <c r="BC3" i="18"/>
  <c r="T2" i="18"/>
  <c r="N3" i="18"/>
  <c r="AO3" i="18"/>
  <c r="S4" i="18"/>
  <c r="AR4" i="18"/>
  <c r="S17" i="18"/>
  <c r="AM17" i="18"/>
  <c r="BA3" i="18"/>
  <c r="O3" i="18"/>
  <c r="AP3" i="18"/>
  <c r="T17" i="18"/>
  <c r="AN17" i="18"/>
  <c r="AY3" i="18"/>
  <c r="P3" i="18"/>
  <c r="AQ3" i="18"/>
  <c r="E4" i="18"/>
  <c r="U17" i="18"/>
  <c r="N17" i="18" l="1"/>
  <c r="BE3" i="18"/>
  <c r="L17" i="18"/>
  <c r="O4" i="18"/>
  <c r="N4" i="18"/>
  <c r="L4" i="18"/>
  <c r="BB4" i="18"/>
  <c r="BA4" i="18"/>
  <c r="BD4" i="18"/>
  <c r="AM4" i="18"/>
  <c r="AN4" i="18"/>
  <c r="BC4" i="18"/>
  <c r="AL4" i="18"/>
  <c r="M4" i="18"/>
  <c r="AW4" i="18"/>
  <c r="AU4" i="18"/>
  <c r="AI4" i="18"/>
  <c r="AV4" i="18"/>
  <c r="AX4" i="18"/>
  <c r="I4" i="18"/>
  <c r="F4" i="18"/>
  <c r="H4" i="18"/>
  <c r="G4" i="18"/>
  <c r="T4" i="18"/>
  <c r="AQ4" i="18"/>
  <c r="Q4" i="18"/>
  <c r="AT4" i="18"/>
  <c r="BE4" i="18" l="1"/>
</calcChain>
</file>

<file path=xl/comments1.xml><?xml version="1.0" encoding="utf-8"?>
<comments xmlns="http://schemas.openxmlformats.org/spreadsheetml/2006/main">
  <authors>
    <author/>
  </authors>
  <commentList>
    <comment ref="BL4" authorId="0" shapeId="0">
      <text>
        <r>
          <rPr>
            <sz val="10"/>
            <color rgb="FF000000"/>
            <rFont val="Calibri"/>
            <family val="2"/>
            <scheme val="minor"/>
          </rPr>
          <t>Source : https://www.eea.europa.eu/data-and-maps/data/external/degree-of-urbanisation-degurba</t>
        </r>
      </text>
    </comment>
    <comment ref="B5" authorId="0" shapeId="0">
      <text>
        <r>
          <rPr>
            <sz val="10"/>
            <color rgb="FF000000"/>
            <rFont val="Calibri"/>
            <family val="2"/>
            <scheme val="minor"/>
          </rPr>
          <t>Source(year 2025) : INSEE
https://www.insee.fr/fr/statistiques/2381474</t>
        </r>
      </text>
    </comment>
    <comment ref="E5" authorId="0" shapeId="0">
      <text>
        <r>
          <rPr>
            <sz val="10"/>
            <color rgb="FF000000"/>
            <rFont val="Calibri"/>
            <family val="2"/>
            <scheme val="minor"/>
          </rPr>
          <t xml:space="preserve">Source(year 2025) : INSEE
https://www.insee.fr/fr/statistiques/2381474
Calcul : WOmen 18+ / Pop 18+
</t>
        </r>
      </text>
    </comment>
    <comment ref="F5" authorId="0" shapeId="0">
      <text>
        <r>
          <rPr>
            <sz val="10"/>
            <color rgb="FF000000"/>
            <rFont val="Calibri"/>
            <family val="2"/>
            <scheme val="minor"/>
          </rPr>
          <t xml:space="preserve">Source(year 2025) : INSEE
https://www.insee.fr/fr/statistiques/2381474
Calcul : Men 18+ / Pop 18+
</t>
        </r>
      </text>
    </comment>
    <comment ref="G5" authorId="0" shapeId="0">
      <text>
        <r>
          <rPr>
            <sz val="10"/>
            <color rgb="FF000000"/>
            <rFont val="Calibri"/>
            <family val="2"/>
            <scheme val="minor"/>
          </rPr>
          <t>Year 2025
https://www.google.com/url?q=https://www.insee.fr/fr/statistiques/2381474&amp;sa=D&amp;source=editors&amp;ust=1744280938896669&amp;usg=AOvVaw2fIDzz9EHN23_zW9_1TTtM</t>
        </r>
      </text>
    </comment>
    <comment ref="L5" authorId="0" shapeId="0">
      <text>
        <r>
          <rPr>
            <sz val="10"/>
            <color rgb="FF000000"/>
            <rFont val="Calibri"/>
            <family val="2"/>
            <scheme val="minor"/>
          </rPr>
          <t>OECD 2024
https://gpseducation.oecd.org/CountryProfile?plotter=h5&amp;primaryCountry=FRA&amp;treshold=5&amp;topic=EO</t>
        </r>
      </text>
    </comment>
    <comment ref="O5" authorId="0" shapeId="0">
      <text>
        <r>
          <rPr>
            <sz val="10"/>
            <color rgb="FF000000"/>
            <rFont val="Calibri"/>
            <family val="2"/>
            <scheme val="minor"/>
          </rPr>
          <t xml:space="preserve">2015 data - best available
https://public.opendatasoft.com/explore/dataset/correspondance-code-insee-code-postal/table/
</t>
        </r>
      </text>
    </comment>
    <comment ref="V5" authorId="0" shapeId="0">
      <text>
        <r>
          <rPr>
            <sz val="10"/>
            <color rgb="FF000000"/>
            <rFont val="Calibri"/>
            <family val="2"/>
            <scheme val="minor"/>
          </rPr>
          <t xml:space="preserve">Ile de France
Year 2025 estimate 
https://www.insee.fr/fr/statistiques/8331297
</t>
        </r>
      </text>
    </comment>
    <comment ref="W5" authorId="0" shapeId="0">
      <text>
        <r>
          <rPr>
            <sz val="10"/>
            <color rgb="FF000000"/>
            <rFont val="Calibri"/>
            <family val="2"/>
            <scheme val="minor"/>
          </rPr>
          <t xml:space="preserve">North and East
Hauts de France, Grand Est,  Bourgogne Franche-Comté
</t>
        </r>
      </text>
    </comment>
    <comment ref="X5" authorId="0" shapeId="0">
      <text>
        <r>
          <rPr>
            <sz val="10"/>
            <color rgb="FF000000"/>
            <rFont val="Calibri"/>
            <family val="2"/>
            <scheme val="minor"/>
          </rPr>
          <t>South West
Nouvelle Aquitaine, Occitanie (partie ouest)</t>
        </r>
      </text>
    </comment>
    <comment ref="Y5" authorId="0" shapeId="0">
      <text>
        <r>
          <rPr>
            <sz val="10"/>
            <color rgb="FF000000"/>
            <rFont val="Calibri"/>
            <family val="2"/>
            <scheme val="minor"/>
          </rPr>
          <t>South-East
PACA, Auvergne Rhône-Alpes, occitanie (partie est)</t>
        </r>
      </text>
    </comment>
    <comment ref="Z5" authorId="0" shapeId="0">
      <text>
        <r>
          <rPr>
            <sz val="10"/>
            <color rgb="FF000000"/>
            <rFont val="Calibri"/>
            <family val="2"/>
            <scheme val="minor"/>
          </rPr>
          <t>Other regions
Bretagne, Normandie, Centre Val de Loire, Outre mer</t>
        </r>
      </text>
    </comment>
    <comment ref="AU5"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5" authorId="0" shapeId="0">
      <text>
        <r>
          <rPr>
            <sz val="10"/>
            <color rgb="FF000000"/>
            <rFont val="Calibri"/>
            <family val="2"/>
            <scheme val="minor"/>
          </rPr>
          <t>Source (2023) : 
Age:From 25 to 64 years
https://data-explorer.oecd.org/vis?lc=en&amp;df[ds]=DisseminateFinalDMZ&amp;df[id]=DSD_LFS%40DF_LFS_INDIC&amp;df[ag]=OECD.ELS.SAE&amp;df[vs]=1.1&amp;dq=..._T._T.UNE&amp;lom=LASTNPERIODS&amp;lo=5&amp;to[TIME_PERIOD]=false&amp;vw=tb</t>
        </r>
      </text>
    </comment>
    <comment ref="AW5" authorId="0" shapeId="0">
      <text>
        <r>
          <rPr>
            <sz val="10"/>
            <color rgb="FF000000"/>
            <rFont val="Calibri"/>
            <family val="2"/>
            <scheme val="minor"/>
          </rPr>
          <t xml:space="preserve">2023
https://data-explorer.oecd.org/vis?lc=en&amp;df[ds]=DisseminateFinalDMZ&amp;df[id]=DSD_LFS%40DF_LFS_INDIC&amp;df[ag]=OECD.ELS.SAE&amp;df[vs]=1.1&amp;dq=RUS%2BUSA%2BGBR%2BCHE%2BESP%2BPOL%2BJPN%2BITA%2BDEU%2BFRA..PT_POP_SUB._T.Y25T64%2B_T.EMP&amp;lom=LASTNPERIODS&amp;lo=3&amp;to[TIME_PERIOD]=false&amp;vw=tb
</t>
        </r>
      </text>
    </comment>
    <comment ref="AX5" authorId="0" shapeId="0">
      <text>
        <r>
          <rPr>
            <sz val="10"/>
            <color rgb="FF000000"/>
            <rFont val="Calibri"/>
            <family val="2"/>
            <scheme val="minor"/>
          </rPr>
          <t xml:space="preserve">Élections européennes 2024 :
(1) Turnout by year
**  https://results.elections.europa.eu/en/national-results/france/0028.png
(2) % de votes par partis nationaux :
** https://results.elections.europa.eu/en/national-results/france/2024-2029/0021.png
 Left :
Réveiller l'Europe (PS, Place Publique)
LFI (La France Insoumise)
LE - EELV (Les Écologistes - EELV)
Gauche Unie (PCF, GRS)
NPA (Nouveau Parti Anticapitaliste)
PA (Parti Animaliste) 
</t>
        </r>
      </text>
    </comment>
    <comment ref="AY5" authorId="0" shapeId="0">
      <text>
        <r>
          <rPr>
            <sz val="10"/>
            <color rgb="FF000000"/>
            <rFont val="Calibri"/>
            <family val="2"/>
            <scheme val="minor"/>
          </rPr>
          <t xml:space="preserve">Élections européennes 2024 :
</t>
        </r>
      </text>
    </comment>
    <comment ref="AZ5" authorId="0" shapeId="0">
      <text>
        <r>
          <rPr>
            <sz val="10"/>
            <color rgb="FF000000"/>
            <rFont val="Calibri"/>
            <family val="2"/>
            <scheme val="minor"/>
          </rPr>
          <t xml:space="preserve">
</t>
        </r>
      </text>
    </comment>
    <comment ref="BA5" authorId="0" shapeId="0">
      <text>
        <r>
          <rPr>
            <sz val="10"/>
            <color rgb="FF000000"/>
            <rFont val="Calibri"/>
            <family val="2"/>
            <scheme val="minor"/>
          </rPr>
          <t xml:space="preserve">Élections européennes 2024 :
</t>
        </r>
      </text>
    </comment>
    <comment ref="BB5" authorId="0" shapeId="0">
      <text>
        <r>
          <rPr>
            <sz val="10"/>
            <color rgb="FF000000"/>
            <rFont val="Calibri"/>
            <family val="2"/>
            <scheme val="minor"/>
          </rPr>
          <t xml:space="preserve">Élections européennes 2024 :
</t>
        </r>
      </text>
    </comment>
    <comment ref="BC5" authorId="0" shapeId="0">
      <text>
        <r>
          <rPr>
            <sz val="10"/>
            <color rgb="FF000000"/>
            <rFont val="Calibri"/>
            <family val="2"/>
            <scheme val="minor"/>
          </rPr>
          <t xml:space="preserve">Élections européennes 2024 :
</t>
        </r>
      </text>
    </comment>
    <comment ref="BD5" authorId="0" shapeId="0">
      <text>
        <r>
          <rPr>
            <sz val="10"/>
            <color rgb="FF000000"/>
            <rFont val="Calibri"/>
            <family val="2"/>
            <scheme val="minor"/>
          </rPr>
          <t xml:space="preserve">% Inscrits
</t>
        </r>
      </text>
    </comment>
    <comment ref="BF5" authorId="0" shapeId="0">
      <text>
        <r>
          <rPr>
            <sz val="10"/>
            <color rgb="FF000000"/>
            <rFont val="Calibri"/>
            <family val="2"/>
            <scheme val="minor"/>
          </rPr>
          <t xml:space="preserve">same definition as 2020
</t>
        </r>
      </text>
    </comment>
    <comment ref="B6" authorId="0" shapeId="0">
      <text>
        <r>
          <rPr>
            <sz val="10"/>
            <color rgb="FF000000"/>
            <rFont val="Calibri"/>
            <family val="2"/>
            <scheme val="minor"/>
          </rPr>
          <t>Source (year 2023) : Destatis Statistisches Bundesamt
https://www-genesis.destatis.de/datenbank/online/statistic/12411/table/12411-0006</t>
        </r>
      </text>
    </comment>
    <comment ref="E6" authorId="0" shapeId="0">
      <text>
        <r>
          <rPr>
            <sz val="10"/>
            <color rgb="FF000000"/>
            <rFont val="Calibri"/>
            <family val="2"/>
            <scheme val="minor"/>
          </rPr>
          <t>Source : (Year 2023)
https://www.google.com/url?q=https://www-genesis.destatis.de/datenbank/online/statistic/12411/table/12411-0007&amp;sa=D&amp;source=editors&amp;ust=1744102665661679&amp;usg=AOvVaw1_gO3NDQfGVTg2pDBOn9uD</t>
        </r>
      </text>
    </comment>
    <comment ref="G6" authorId="0" shapeId="0">
      <text>
        <r>
          <rPr>
            <sz val="10"/>
            <color rgb="FF000000"/>
            <rFont val="Calibri"/>
            <family val="2"/>
            <scheme val="minor"/>
          </rPr>
          <t>Source ( year 2023) :  Destatis Statistisches Bundesamt
https://www-genesis.destatis.de/datenbank/online/statistic/12411/table/12411-0006</t>
        </r>
      </text>
    </comment>
    <comment ref="H6" authorId="0" shapeId="0">
      <text>
        <r>
          <rPr>
            <sz val="10"/>
            <color rgb="FF000000"/>
            <rFont val="Calibri"/>
            <family val="2"/>
            <scheme val="minor"/>
          </rPr>
          <t>Source ( year 2023) :  Destatis Statistisches Bundesamt
https://www-genesis.destatis.de/datenbank/online/statistic/12411/table/12411-0006</t>
        </r>
      </text>
    </comment>
    <comment ref="I6" authorId="0" shapeId="0">
      <text>
        <r>
          <rPr>
            <sz val="10"/>
            <color rgb="FF000000"/>
            <rFont val="Calibri"/>
            <family val="2"/>
            <scheme val="minor"/>
          </rPr>
          <t>Source ( year 2023) :  Destatis Statistisches Bundesamt
https://www-genesis.destatis.de/datenbank/online/statistic/12411/table/12411-0006</t>
        </r>
      </text>
    </comment>
    <comment ref="J6" authorId="0" shapeId="0">
      <text>
        <r>
          <rPr>
            <sz val="10"/>
            <color rgb="FF000000"/>
            <rFont val="Calibri"/>
            <family val="2"/>
            <scheme val="minor"/>
          </rPr>
          <t>Source ( year 2023) :  Destatis Statistisches Bundesamt
https://www-genesis.destatis.de/datenbank/online/statistic/12411/table/12411-0006</t>
        </r>
      </text>
    </comment>
    <comment ref="K6" authorId="0" shapeId="0">
      <text>
        <r>
          <rPr>
            <sz val="10"/>
            <color rgb="FF000000"/>
            <rFont val="Calibri"/>
            <family val="2"/>
            <scheme val="minor"/>
          </rPr>
          <t>Source ( year 2023) :  Destatis Statistisches Bundesamt
https://www-genesis.destatis.de/datenbank/online/statistic/12411/table/12411-0006</t>
        </r>
      </text>
    </comment>
    <comment ref="L6" authorId="0" shapeId="0">
      <text>
        <r>
          <rPr>
            <sz val="10"/>
            <color rgb="FF000000"/>
            <rFont val="Calibri"/>
            <family val="2"/>
            <scheme val="minor"/>
          </rPr>
          <t>OECD 2024
https://gpseducation.oecd.org/CountryProfile?plotter=h5&amp;primaryCountry=DEU&amp;treshold=5&amp;topic=EO</t>
        </r>
      </text>
    </comment>
    <comment ref="O6" authorId="0" shapeId="0">
      <text>
        <r>
          <rPr>
            <sz val="10"/>
            <color rgb="FF000000"/>
            <rFont val="Calibri"/>
            <family val="2"/>
            <scheme val="minor"/>
          </rPr>
          <t>2024 : https://ec.europa.eu/eurostat/databrowser/view/ilc_lvho01__custom_16633018/default/table?lang=en</t>
        </r>
      </text>
    </comment>
    <comment ref="V6" authorId="0" shapeId="0">
      <text>
        <r>
          <rPr>
            <sz val="10"/>
            <color rgb="FF000000"/>
            <rFont val="Calibri"/>
            <family val="2"/>
            <scheme val="minor"/>
          </rPr>
          <t xml:space="preserve">
Eastern
Berlin, Brandenburg, Sachsen, Sachsen-Anhalt, Mecklenburg-Vorpommern 
Source (12/24)
https://www.destatis.de/DE/Themen/Laender-Regionen/Regionales/Gemeindeverzeichnis/Administrativ/Archiv/GVAuszugQ/AuszugGV4QAktuell.html</t>
        </r>
      </text>
    </comment>
    <comment ref="W6" authorId="0" shapeId="0">
      <text>
        <r>
          <rPr>
            <sz val="10"/>
            <color rgb="FF000000"/>
            <rFont val="Calibri"/>
            <family val="2"/>
            <scheme val="minor"/>
          </rPr>
          <t xml:space="preserve">Southern
Baden-Württemberg, Bayern
</t>
        </r>
      </text>
    </comment>
    <comment ref="X6" authorId="0" shapeId="0">
      <text>
        <r>
          <rPr>
            <sz val="10"/>
            <color rgb="FF000000"/>
            <rFont val="Calibri"/>
            <family val="2"/>
            <scheme val="minor"/>
          </rPr>
          <t xml:space="preserve">3 -Others [Northern, Western, Central]
Schleswig-Holstein, Hamburg, Niedersachsen, Bremen, Nordrhein-Westfalen, Rheinland-Pfalz, Saarland, Hessen, Thüringen
</t>
        </r>
      </text>
    </comment>
    <comment ref="AU6" authorId="0" shapeId="0">
      <text>
        <r>
          <rPr>
            <sz val="10"/>
            <color rgb="FF000000"/>
            <rFont val="Calibri"/>
            <family val="2"/>
            <scheme val="minor"/>
          </rPr>
          <t>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6"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6" authorId="0" shapeId="0">
      <text>
        <r>
          <rPr>
            <sz val="10"/>
            <color rgb="FF000000"/>
            <rFont val="Calibri"/>
            <family val="2"/>
            <scheme val="minor"/>
          </rPr>
          <t xml:space="preserve">Bundestagswahl 2025 : 
https://www.bundeswahlleiterin.de/en/bundestagswahlen/2025/ergebnisse/bund-99.html
% Persons entitled to vote
Left: 
BSW
BüSo
Die Linke
Die PARTEI
GRÜNE
MENSCHLICHE WELT
MERA25
MLPD
PdH
PIRATEN
SGP
SPD
Tierschutzpartei
Volt
</t>
        </r>
      </text>
    </comment>
    <comment ref="AY6" authorId="0" shapeId="0">
      <text>
        <r>
          <rPr>
            <sz val="10"/>
            <color rgb="FF000000"/>
            <rFont val="Calibri"/>
            <family val="2"/>
            <scheme val="minor"/>
          </rPr>
          <t xml:space="preserve">Bundestagswahl 2025 : </t>
        </r>
      </text>
    </comment>
    <comment ref="AZ6" authorId="0" shapeId="0">
      <text>
        <r>
          <rPr>
            <sz val="10"/>
            <color rgb="FF000000"/>
            <rFont val="Calibri"/>
            <family val="2"/>
            <scheme val="minor"/>
          </rPr>
          <t xml:space="preserve">Bundestagswahl 2025 : </t>
        </r>
      </text>
    </comment>
    <comment ref="BA6" authorId="0" shapeId="0">
      <text>
        <r>
          <rPr>
            <sz val="10"/>
            <color rgb="FF000000"/>
            <rFont val="Calibri"/>
            <family val="2"/>
            <scheme val="minor"/>
          </rPr>
          <t xml:space="preserve">Bundestagswahl 2025 : 
https://www.bundeswahlleiterin.de/en/bundestagswahlen/2025/ergebnisse/bund-99.html
% Persons entitled to vote
Left: 
BSW
BüSo
Die Linke
Die PARTEI
GRÜNE
MENSCHLICHE WELT
MERA25
MLPD
PdH
PIRATEN
SGP
SPD
Tierschutzpartei
Volt
</t>
        </r>
      </text>
    </comment>
    <comment ref="BB6" authorId="0" shapeId="0">
      <text>
        <r>
          <rPr>
            <sz val="10"/>
            <color rgb="FF000000"/>
            <rFont val="Calibri"/>
            <family val="2"/>
            <scheme val="minor"/>
          </rPr>
          <t xml:space="preserve">Center-right or right
BP
Bündnis C
BÜNDNIS DEUTSCHLAND
CDU
CSU
dieBasis
FDP
FREIE WÄHLER
ÖDP
PdF
Political groups/individual candidates
SSW
Team Todenhöfer
Verjüngungsforschung
</t>
        </r>
      </text>
    </comment>
    <comment ref="BC6" authorId="0" shapeId="0">
      <text>
        <r>
          <rPr>
            <sz val="10"/>
            <color rgb="FF000000"/>
            <rFont val="Calibri"/>
            <family val="2"/>
            <scheme val="minor"/>
          </rPr>
          <t xml:space="preserve">Far right
AfD
WerteUnion
</t>
        </r>
      </text>
    </comment>
    <comment ref="BD6" authorId="0" shapeId="0">
      <text>
        <r>
          <rPr>
            <sz val="10"/>
            <color rgb="FF000000"/>
            <rFont val="Calibri"/>
            <family val="2"/>
            <scheme val="minor"/>
          </rPr>
          <t>Abstention = Persons entitled to vote
- Voters 
Voters = Valid + Invalid
Invalid : 7</t>
        </r>
      </text>
    </comment>
    <comment ref="B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E7" authorId="0" shapeId="0">
      <text>
        <r>
          <rPr>
            <sz val="10"/>
            <color rgb="FF000000"/>
            <rFont val="Calibri"/>
            <family val="2"/>
            <scheme val="minor"/>
          </rPr>
          <t xml:space="preserve">Source (year 2024) :  Istituto Nazionale di Statistica
https://esploradati.istat.it/databrowser/#/en/dw/categories/IT1,POP,1.0/POP_POPULATION/DCIS_POPRES1/IT1,22_289_DF_DCIS_POPRES1_2,1.0
Calcul : (Women 18+ / Pop 18+) * 1000
Pop (18+) :  50.040.752
Women (18+ ) :  25.791.755
Women (total) : 30.124.502
Data as of 27 March 2025
</t>
        </r>
      </text>
    </comment>
    <comment ref="F7" authorId="0" shapeId="0">
      <text>
        <r>
          <rPr>
            <sz val="10"/>
            <color rgb="FF000000"/>
            <rFont val="Calibri"/>
            <family val="2"/>
            <scheme val="minor"/>
          </rPr>
          <t>Source (year 2024) :  Istituto Nazionale di Statistica
https://esploradati.istat.it/databrowser/#/en/dw/categories/IT1,POP,1.0/POP_POPULATION/DCIS_POPRES1/IT1,22_289_DF_DCIS_POPRES1_2,1.0
Calcul : (Men 18+ / Pop 18+) * 1000
Pop (18+) :  50.040.752
Men (18+ ) : 24.248.997  
Men (total) : 28.846.728
Data as of 27 March 2025</t>
        </r>
      </text>
    </comment>
    <comment ref="G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H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I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J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K7" authorId="0" shapeId="0">
      <text>
        <r>
          <rPr>
            <sz val="10"/>
            <color rgb="FF000000"/>
            <rFont val="Calibri"/>
            <family val="2"/>
            <scheme val="minor"/>
          </rPr>
          <t>Source (year 2024) :  Istituto Nazionale di Statistica
https://esploradati.istat.it/databrowser/#/en/dw/categories/IT1,POP,1.0/POP_POPULATION/DCIS_POPRES1/IT1,22_289_DF_DCIS_POPRES1_2,1.0</t>
        </r>
      </text>
    </comment>
    <comment ref="L7" authorId="0" shapeId="0">
      <text>
        <r>
          <rPr>
            <sz val="10"/>
            <color rgb="FF000000"/>
            <rFont val="Calibri"/>
            <family val="2"/>
            <scheme val="minor"/>
          </rPr>
          <t>OECD 2024
https://gpseducation.oecd.org/CountryProfile?plotter=h5&amp;primaryCountry=ITA&amp;treshold=5&amp;topic=EO</t>
        </r>
      </text>
    </comment>
    <comment ref="O7" authorId="0" shapeId="0">
      <text>
        <r>
          <rPr>
            <sz val="10"/>
            <color rgb="FF000000"/>
            <rFont val="Calibri"/>
            <family val="2"/>
            <scheme val="minor"/>
          </rPr>
          <t>2024 : https://ec.europa.eu/eurostat/databrowser/view/ilc_lvho01__custom_16633018/default/table?lang=en</t>
        </r>
      </text>
    </comment>
    <comment ref="V7" authorId="0" shapeId="0">
      <text>
        <r>
          <rPr>
            <sz val="10"/>
            <color rgb="FF000000"/>
            <rFont val="Calibri"/>
            <family val="2"/>
            <scheme val="minor"/>
          </rPr>
          <t>POp 2023
North regions:
North-West
VDA – Valle d'Aosta
LIG – Liguria
LOM – Lombardia
PIE – Piemonte
North-East
EMR – Emilia-Romagna
FVG – Friuli-Venezia Giulia
TAA – Trentino-Alto Adige
VEN – Veneto
TOS – Toscana
LAZ – Lazio</t>
        </r>
      </text>
    </comment>
    <comment ref="W7" authorId="0" shapeId="0">
      <text>
        <r>
          <rPr>
            <sz val="10"/>
            <color rgb="FF000000"/>
            <rFont val="Calibri"/>
            <family val="2"/>
            <scheme val="minor"/>
          </rPr>
          <t xml:space="preserve">Pop 2023
South regions
Center
MAR – Marche
UMB – Umbria
ABR – Abruzzo
CAM – Campania
MOL – Molise
South
PUG – Puglia
BAS – Basilicata
CAL – Calabria
SAR – Sardegna
SIC – Sicilia
----------------------------------------
SOurce : https://www.istat.it/wp-content/uploads/2024/05/Classificazioni-statistiche-Anni_2024-2025.zip
Classificazioni statistiche-e-dimensione-dei-comuni_31_12_2024
------------------------------------------
# Recoder Region
final$Region[final$Region == "North-West"] &lt;- 1
final$Region[final$Region == "North-East"] &lt;- 1
final$Region[final$Region == "Center"] &lt;- 2
final$Region[final$Region == "South"] &lt;- 2
North == 1
South == 2
</t>
        </r>
      </text>
    </comment>
    <comment ref="AU7"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7"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7" authorId="0" shapeId="0">
      <text>
        <r>
          <rPr>
            <sz val="10"/>
            <color rgb="FF000000"/>
            <rFont val="Calibri"/>
            <family val="2"/>
            <scheme val="minor"/>
          </rPr>
          <t xml:space="preserve">Élections européennes 2024 :
1) Turnout by year :
** https://results.elections.europa.eu/en/national-results/italy/0028.png
(2) % de votes par partis nationaux :
** https://results.elections.europa.eu/en/national-results/italy/2024-2029/0021.png
Left
*PD - Partito Democratico (centre-gauche)
*Alleanza Verdi e Sinistra (Verts + Gauche radicale)
*Pace Terra Dignità (gauche radicale)
*Democrazia Sovrana Popolare (extrême gauche communiste)
*M5S - Movimento Cinque Stelle (
</t>
        </r>
      </text>
    </comment>
    <comment ref="AY7" authorId="0" shapeId="0">
      <text>
        <r>
          <rPr>
            <sz val="10"/>
            <color rgb="FF000000"/>
            <rFont val="Calibri"/>
            <family val="2"/>
            <scheme val="minor"/>
          </rPr>
          <t xml:space="preserve">Center-right or Right
*FI – NM (Forza Italia + Noi Moderati) → droite modérée, conservateurs pro-européens
*Stati Uniti d'Europa (+Europa, Italia Viva, etc.) → centre-libéral
*Azione – Siamo Europei (centre, centre-droit réformateur)
*SVP - Südtiroler Volkspartei (centriste/régionaliste modéré)
*Other parties - Other parties
</t>
        </r>
      </text>
    </comment>
    <comment ref="AZ7" authorId="0" shapeId="0">
      <text>
        <r>
          <rPr>
            <sz val="10"/>
            <color rgb="FF000000"/>
            <rFont val="Calibri"/>
            <family val="2"/>
            <scheme val="minor"/>
          </rPr>
          <t xml:space="preserve">Far-right
*FdI - Fratelli d'Italia (Giorgia Meloni - droite nationaliste / extrême droite)
*Libertà (Italexit, etc)
*Lega Salvini Premier 
</t>
        </r>
      </text>
    </comment>
    <comment ref="BD7" authorId="0" shapeId="0">
      <text>
        <r>
          <rPr>
            <sz val="10"/>
            <color rgb="FF000000"/>
            <rFont val="Calibri"/>
            <family val="2"/>
            <scheme val="minor"/>
          </rPr>
          <t>Abstention = 100 - Taux de participation</t>
        </r>
      </text>
    </comment>
    <comment ref="B8" authorId="0" shapeId="0">
      <text>
        <r>
          <rPr>
            <sz val="10"/>
            <color rgb="FF000000"/>
            <rFont val="Calibri"/>
            <family val="2"/>
            <scheme val="minor"/>
          </rPr>
          <t xml:space="preserve">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
Source (year 2023) : Statistics Poland - Główny Urząd Statystyczny
https://bdl.stat.gov.pl/bdl/dane/podgrup/tablica 
Pop 18+ (2023) : 30.771.627
subgroups :
	P2137	Population by sex and age group (25-34 ; 35-49 ; 50-64 ; &gt;65)
	P1341	Population by singular age and sex (18-24)
Data as of 20th February, 2025
Last update	05/06/2024
</t>
        </r>
      </text>
    </comment>
    <comment ref="E8" authorId="0" shapeId="0">
      <text>
        <r>
          <rPr>
            <sz val="10"/>
            <color rgb="FF000000"/>
            <rFont val="Calibri"/>
            <family val="2"/>
            <scheme val="minor"/>
          </rPr>
          <t xml:space="preserve">Source (year 2023) : Statistics Poland - Główny Urząd Statystyczny
https://bdl.stat.gov.pl/bdl/dane/podgrup/tablica 
Women (total) : 19.454.109
Women (18+ ) :  16.112.102
Calcul : (Women 18+ / Total 18+) * 1000
              (16.112/30.772)*1.000
Data as of 20th February, 2025
Last update	05/06/2024
</t>
        </r>
      </text>
    </comment>
    <comment ref="F8" authorId="0" shapeId="0">
      <text>
        <r>
          <rPr>
            <sz val="10"/>
            <color rgb="FF000000"/>
            <rFont val="Calibri"/>
            <family val="2"/>
            <scheme val="minor"/>
          </rPr>
          <t xml:space="preserve">Source (year 2023)
Men (total) : 18.182.399 
    (P2137	Population by sex and age group )
Men (18 +) : 14.659.525
    (P2137	Population by sex and age group  ET P1341	Population by singular age and sex°
</t>
        </r>
      </text>
    </comment>
    <comment ref="G8" authorId="0" shapeId="0">
      <text>
        <r>
          <rPr>
            <sz val="10"/>
            <color rgb="FF000000"/>
            <rFont val="Calibri"/>
            <family val="2"/>
            <scheme val="minor"/>
          </rPr>
          <t xml:space="preserve">Source (2023) : Statistics Poland - Główny Urząd Statystyczny
https://bdl.stat.gov.pl/bdl/dane/podgrup/tablica 
POP (18-24) : 2.497.574
	P1341	Population by singular age and sex 
</t>
        </r>
      </text>
    </comment>
    <comment ref="H8" authorId="0" shapeId="0">
      <text>
        <r>
          <rPr>
            <sz val="10"/>
            <color rgb="FF000000"/>
            <rFont val="Calibri"/>
            <family val="2"/>
            <scheme val="minor"/>
          </rPr>
          <t xml:space="preserve">Source (2023) : Statistics Poland - Główny Urząd Statystyczny
https://bdl.stat.gov.pl/bdl/dane/podgrup/tablica
Pop (25-34) : 4.657.017
     P2137	Population by sex and age group </t>
        </r>
      </text>
    </comment>
    <comment ref="I8" authorId="0" shapeId="0">
      <text>
        <r>
          <rPr>
            <sz val="10"/>
            <color rgb="FF000000"/>
            <rFont val="Calibri"/>
            <family val="2"/>
            <scheme val="minor"/>
          </rPr>
          <t xml:space="preserve">Source (2023) : Statistics Poland - Główny Urząd Statystyczny
https://bdl.stat.gov.pl/bdl/dane/podgrup/tablica
Pop (35-49) : 9.097.939
     P2137	Population by sex and age group </t>
        </r>
      </text>
    </comment>
    <comment ref="J8" authorId="0" shapeId="0">
      <text>
        <r>
          <rPr>
            <sz val="10"/>
            <color rgb="FF000000"/>
            <rFont val="Calibri"/>
            <family val="2"/>
            <scheme val="minor"/>
          </rPr>
          <t xml:space="preserve">Source (2023) : Statistics Poland - Główny Urząd Statystyczny
https://bdl.stat.gov.pl/bdl/dane/podgrup/tablica
Pop (50-64) : 6.969.203
     P2137	Population by sex and age group </t>
        </r>
      </text>
    </comment>
    <comment ref="K8" authorId="0" shapeId="0">
      <text>
        <r>
          <rPr>
            <sz val="10"/>
            <color rgb="FF000000"/>
            <rFont val="Calibri"/>
            <family val="2"/>
            <scheme val="minor"/>
          </rPr>
          <t xml:space="preserve">Source (2023) : Statistics Poland - Główny Urząd Statystyczny
https://bdl.stat.gov.pl/bdl/dane/podgrup/tablica
Pop (&gt;64) : 7.549.894
     P2137	Population by sex and age group </t>
        </r>
      </text>
    </comment>
    <comment ref="L8" authorId="0" shapeId="0">
      <text>
        <r>
          <rPr>
            <sz val="10"/>
            <color rgb="FF000000"/>
            <rFont val="Calibri"/>
            <family val="2"/>
            <scheme val="minor"/>
          </rPr>
          <t>OECD 2024
https://gpseducation.oecd.org/CountryProfile?plotter=h5&amp;primaryCountry=POL&amp;treshold=5&amp;topic=EO</t>
        </r>
      </text>
    </comment>
    <comment ref="O8" authorId="0" shapeId="0">
      <text>
        <r>
          <rPr>
            <sz val="10"/>
            <color rgb="FF000000"/>
            <rFont val="Calibri"/>
            <family val="2"/>
            <scheme val="minor"/>
          </rPr>
          <t>2024 : https://ec.europa.eu/eurostat/databrowser/view/ilc_lvho01__custom_16633018/default/table?lang=en</t>
        </r>
      </text>
    </comment>
    <comment ref="V8" authorId="0" shapeId="0">
      <text>
        <r>
          <rPr>
            <sz val="10"/>
            <color rgb="FF000000"/>
            <rFont val="Calibri"/>
            <family val="2"/>
            <scheme val="minor"/>
          </rPr>
          <t xml:space="preserve">East (pop 2023)
(https://www.economist.com/graphic-detail/2018/11/21/imperial-borders-still-shape-politics-in-poland-and-romania)
Vote/Imperial Borders : Pis/East + Warszawski stołeczny (KO)
Regions (Vote PIS) : 
Łódzkie
Świętokrzyskie
Małopolskie
Mazowiecki regionalny
Lubelskie
Podkarpackie
Podlaskie
Warszawski stołeczny (Vote KO)
</t>
        </r>
      </text>
    </comment>
    <comment ref="W8" authorId="0" shapeId="0">
      <text>
        <r>
          <rPr>
            <sz val="10"/>
            <color rgb="FF000000"/>
            <rFont val="Calibri"/>
            <family val="2"/>
            <scheme val="minor"/>
          </rPr>
          <t xml:space="preserve">West (pop 2023)
Vote/Vote/Imperial Borders : KO/West
Lubuskie
Wielkopolskie
Zachodniopomorskie
Kujawsko-pomorskie
Pomorskie
Warmińsko-mazurskie
Dolnośląskie
Opolskie
Śląskie
</t>
        </r>
      </text>
    </comment>
    <comment ref="AU8"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8" authorId="0" shapeId="0">
      <text>
        <r>
          <rPr>
            <sz val="10"/>
            <color rgb="FF000000"/>
            <rFont val="Calibri"/>
            <family val="2"/>
            <scheme val="minor"/>
          </rPr>
          <t xml:space="preserve">SOURCE : https://www.gov.pl/web/family/poland-ranks-second-in-the-eu-with-the-lowest-unemployment-rate-according-to-eurostat#:~:text=Poland%27s%20unemployment%20rate%20in%20December%202023%20was%202.7,only%20Malta%20with%20a%20rate%20of%202.4%20percent.
OR
3.6% (36)
	https://bdl.stat.gov.pl/bdl/dane/podgrup/tablica
    P3299	Share of the registered unemployed persons by education level in the population in the working age
</t>
        </r>
      </text>
    </comment>
    <comment ref="AX8" authorId="0" shapeId="0">
      <text>
        <r>
          <rPr>
            <sz val="10"/>
            <color rgb="FF000000"/>
            <rFont val="Calibri"/>
            <family val="2"/>
            <scheme val="minor"/>
          </rPr>
          <t xml:space="preserve">Élections européennes 2024 :
(1) Turnout by year
**https://results.elections.europa.eu/en/national-results/poland/0028.png
(2) % de votes par partis nationaux :
**https://results.elections.europa.eu/en/national-results/poland/2024-2029/0021.png
Left :
Lewica - S&amp;D
</t>
        </r>
      </text>
    </comment>
    <comment ref="AY8" authorId="0" shapeId="0">
      <text>
        <r>
          <rPr>
            <sz val="10"/>
            <color rgb="FF000000"/>
            <rFont val="Calibri"/>
            <family val="2"/>
            <scheme val="minor"/>
          </rPr>
          <t xml:space="preserve">Center-right or Right
KO - EPP
Trzecia Droga - EPP
BS 
Other parties
</t>
        </r>
      </text>
    </comment>
    <comment ref="AZ8" authorId="0" shapeId="0">
      <text>
        <r>
          <rPr>
            <sz val="10"/>
            <color rgb="FF000000"/>
            <rFont val="Calibri"/>
            <family val="2"/>
            <scheme val="minor"/>
          </rPr>
          <t xml:space="preserve">Far-right
Konfederacja - ESN
PiS - ECR *(coalition de droite au niveau européen)
Votes (par 1000) : 482
</t>
        </r>
      </text>
    </comment>
    <comment ref="BF8" authorId="0" shapeId="0">
      <text>
        <r>
          <rPr>
            <sz val="10"/>
            <color rgb="FF000000"/>
            <rFont val="Calibri"/>
            <family val="2"/>
            <scheme val="minor"/>
          </rPr>
          <t xml:space="preserve">miasta na prawach powiatu	</t>
        </r>
      </text>
    </comment>
    <comment ref="BG8" authorId="0" shapeId="0">
      <text>
        <r>
          <rPr>
            <sz val="10"/>
            <color rgb="FF000000"/>
            <rFont val="Calibri"/>
            <family val="2"/>
            <scheme val="minor"/>
          </rPr>
          <t>Gminy bez miast na prawach powiatu</t>
        </r>
      </text>
    </comment>
    <comment ref="B9"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9" authorId="0" shapeId="0">
      <text>
        <r>
          <rPr>
            <sz val="10"/>
            <color rgb="FF000000"/>
            <rFont val="Calibri"/>
            <family val="2"/>
            <scheme val="minor"/>
          </rPr>
          <t>Source - 2025
https://www.ine.es/dyngs/INEbase/en/operacion.htm?c=Estadistica_C&amp;cid=1254736177095&amp;menu=ultiDatos&amp;idp=1254735572981</t>
        </r>
      </text>
    </comment>
    <comment ref="G9" authorId="0" shapeId="0">
      <text>
        <r>
          <rPr>
            <sz val="10"/>
            <color rgb="FF000000"/>
            <rFont val="Calibri"/>
            <family val="2"/>
            <scheme val="minor"/>
          </rPr>
          <t>Source - INE (2022)
https://www.ine.es/jaxiPx/Datos.htm?path=/t20/e245/p08/l0/&amp;file=01002.px</t>
        </r>
      </text>
    </comment>
    <comment ref="L9" authorId="0" shapeId="0">
      <text>
        <r>
          <rPr>
            <sz val="10"/>
            <color rgb="FF000000"/>
            <rFont val="Calibri"/>
            <family val="2"/>
            <scheme val="minor"/>
          </rPr>
          <t>OECD 2023</t>
        </r>
      </text>
    </comment>
    <comment ref="O9" authorId="0" shapeId="0">
      <text>
        <r>
          <rPr>
            <sz val="10"/>
            <color rgb="FF000000"/>
            <rFont val="Calibri"/>
            <family val="2"/>
            <scheme val="minor"/>
          </rPr>
          <t>2024 : https://ec.europa.eu/eurostat/databrowser/view/ilc_lvho01__custom_16633018/default/table?lang=en</t>
        </r>
      </text>
    </comment>
    <comment ref="V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North-West // GDP en EUR (29k - 33,3K)
 Rioja, La
Castilla y León
 Cantabria
Galicia
Asturias, Principado de
-----Script R -------
region = case_when(
      region == "North-West" ~ 1,
      region == "North" ~ 2,
      region == "Centre" ~ 3,
      region == "Eastern" ~ 4,
      region == "Southern" ~ 5,
</t>
        </r>
      </text>
    </comment>
    <comment ref="W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North // GDP en EUR (34,1k - 36,4K)
09 Cataluña
02 Aragón
16 País Vasco
15 Navarra, Comunidad Foral de
04 Balears, Illes
</t>
        </r>
      </text>
    </comment>
    <comment ref="X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Centre // GDP en EUR 
( 43,1k)
Comunidad de  Madrid
</t>
        </r>
      </text>
    </comment>
    <comment ref="Y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Eastern // GDP en EUR 
(26,4k - 27,2k)
 Comunitat Valenciana
 Murcia, Región de
 Castilla - La Mancha
</t>
        </r>
      </text>
    </comment>
    <comment ref="Z9" authorId="0" shapeId="0">
      <text>
        <r>
          <rPr>
            <sz val="10"/>
            <color rgb="FF000000"/>
            <rFont val="Calibri"/>
            <family val="2"/>
            <scheme val="minor"/>
          </rPr>
          <t xml:space="preserve">Source  :
Pop 2021: 
https://ine.es/jaxiT3/Tabla.htm?t=2915
Division par régions selon  GDP (PPS per inhabitant), 2022 :
https://ec.europa.eu/eurostat/cache/RCI/#?vis=nuts2.economy&amp;lang=en
Southern // GDP en EUR 
(21,5k - 24,3k)
 Canarias
 Extremadura
 Andalucía
 Ceuta
 Melilla
</t>
        </r>
      </text>
    </comment>
    <comment ref="AU9"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9" authorId="0" shapeId="0">
      <text>
        <r>
          <rPr>
            <sz val="10"/>
            <color rgb="FF000000"/>
            <rFont val="Calibri"/>
            <family val="2"/>
            <scheme val="minor"/>
          </rPr>
          <t>avant(131)
Source (2023) : 
https://data-explorer.oecd.org/vis?lc=en&amp;df[ds]=DisseminateFinalDMZ&amp;df[id]=DSD_LFS%40DF_LFS_INDIC&amp;df[ag]=OECD.ELS.SAE&amp;df[vs]=1.1&amp;dq=..._T._T.UNE&amp;lom=LASTNPERIODS&amp;lo=5&amp;to[TIME_PERIOD]=false&amp;vw=tb</t>
        </r>
      </text>
    </comment>
    <comment ref="AX9" authorId="0" shapeId="0">
      <text>
        <r>
          <rPr>
            <sz val="10"/>
            <color rgb="FF000000"/>
            <rFont val="Calibri"/>
            <family val="2"/>
            <scheme val="minor"/>
          </rPr>
          <t xml:space="preserve">Élections européennes 2024 :
(1) Turnout by year
**  https://results.elections.europa.eu/en/national-results/spain/0028.png
(2) % de votes par partis nationaux :
** https://results.elections.europa.eu/en/national-results/spain/2024-2029/0021.png
 Left :
PSOE (S&amp;D)
Podemos (The Left)
Ahora Repúblicas (ERC, EH Bildu, BNG, etc.)  - (The Left et Grens/EFA)
SUMAR (The Left et Greens/EFA)
</t>
        </r>
      </text>
    </comment>
    <comment ref="AY9" authorId="0" shapeId="0">
      <text>
        <r>
          <rPr>
            <sz val="10"/>
            <color rgb="FF000000"/>
            <rFont val="Calibri"/>
            <family val="2"/>
            <scheme val="minor"/>
          </rPr>
          <t xml:space="preserve">Center-right or Right
PP (EPP)
CEUS (EAJ-PNV, Coalición Canaria, etc.) - (Renew Europe)
Other parties - Other parties
Junts UE
</t>
        </r>
      </text>
    </comment>
    <comment ref="AZ9" authorId="0" shapeId="0">
      <text>
        <r>
          <rPr>
            <sz val="10"/>
            <color rgb="FF000000"/>
            <rFont val="Calibri"/>
            <family val="2"/>
            <scheme val="minor"/>
          </rPr>
          <t>Far-right
Vox (PfE)
SALF (NI – Souverainistes, extrême droite populiste)
V</t>
        </r>
      </text>
    </comment>
    <comment ref="B10"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0" authorId="0" shapeId="0">
      <text>
        <r>
          <rPr>
            <sz val="10"/>
            <color rgb="FF000000"/>
            <rFont val="Calibri"/>
            <family val="2"/>
            <scheme val="minor"/>
          </rPr>
          <t>Source (Mid 2023) :
https://www.ons.gov.uk/peoplepopulationandcommunity/populationandmigration/populationestimates/datasets/populationestimatesforukenglandandwalesscotlandandnorthernireland</t>
        </r>
      </text>
    </comment>
    <comment ref="G10" authorId="0" shapeId="0">
      <text>
        <r>
          <rPr>
            <sz val="10"/>
            <color rgb="FF000000"/>
            <rFont val="Calibri"/>
            <family val="2"/>
            <scheme val="minor"/>
          </rPr>
          <t>Source(Mid 2023) :
https://www.ons.gov.uk/peoplepopulationandcommunity/populationandmigration/populationestimates/datasets/populationestimatesforukenglandandwalesscotlandandnorthernireland</t>
        </r>
      </text>
    </comment>
    <comment ref="L10" authorId="0" shapeId="0">
      <text>
        <r>
          <rPr>
            <sz val="10"/>
            <color rgb="FF000000"/>
            <rFont val="Calibri"/>
            <family val="2"/>
            <scheme val="minor"/>
          </rPr>
          <t>Source (OCDE 2024) : 
https://gpseducation.oecd.org/CountryProfile?plotter=h5&amp;primaryCountry=GBR&amp;treshold=5&amp;topic=EO</t>
        </r>
      </text>
    </comment>
    <comment ref="O10" authorId="0" shapeId="0">
      <text>
        <r>
          <rPr>
            <sz val="10"/>
            <color rgb="FF000000"/>
            <rFont val="Calibri"/>
            <family val="2"/>
            <scheme val="minor"/>
          </rPr>
          <t xml:space="preserve">02/2025
*rural
qualtrics rural == 1
qualtrics cities == 3
https://www.doogal.co.uk/postcodedownloads.php
</t>
        </r>
      </text>
    </comment>
    <comment ref="V10" authorId="0" shapeId="0">
      <text>
        <r>
          <rPr>
            <sz val="10"/>
            <color rgb="FF000000"/>
            <rFont val="Calibri"/>
            <family val="2"/>
            <scheme val="minor"/>
          </rPr>
          <t>London
Source (2025 estimate) :
https://www.doogal.co.uk/postcodedownloads.php</t>
        </r>
      </text>
    </comment>
    <comment ref="W10" authorId="0" shapeId="0">
      <text>
        <r>
          <rPr>
            <sz val="10"/>
            <color rgb="FF000000"/>
            <rFont val="Calibri"/>
            <family val="2"/>
            <scheme val="minor"/>
          </rPr>
          <t>Southern England</t>
        </r>
      </text>
    </comment>
    <comment ref="X10" authorId="0" shapeId="0">
      <text>
        <r>
          <rPr>
            <sz val="10"/>
            <color rgb="FF000000"/>
            <rFont val="Calibri"/>
            <family val="2"/>
            <scheme val="minor"/>
          </rPr>
          <t>Central UK</t>
        </r>
      </text>
    </comment>
    <comment ref="Y10" authorId="0" shapeId="0">
      <text>
        <r>
          <rPr>
            <sz val="10"/>
            <color rgb="FF000000"/>
            <rFont val="Calibri"/>
            <family val="2"/>
            <scheme val="minor"/>
          </rPr>
          <t>Northern England</t>
        </r>
      </text>
    </comment>
    <comment ref="Z10" authorId="0" shapeId="0">
      <text>
        <r>
          <rPr>
            <sz val="10"/>
            <color rgb="FF000000"/>
            <rFont val="Calibri"/>
            <family val="2"/>
            <scheme val="minor"/>
          </rPr>
          <t>Northern UK</t>
        </r>
      </text>
    </comment>
    <comment ref="AU10"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10"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0" authorId="0" shapeId="0">
      <text>
        <r>
          <rPr>
            <sz val="10"/>
            <color rgb="FF000000"/>
            <rFont val="Calibri"/>
            <family val="2"/>
            <scheme val="minor"/>
          </rPr>
          <t xml:space="preserve">https://researchbriefings.files.parliament.uk/documents/CBP-10009/CBP-10009.pdf
Turnout : 59.7%,
Parties :
Labour
Green Party of England and Wales
Scottish National Party
Sinn Féin
Workers Party of Britain
Plaid Cymru
Scottish Green Party
Social Democratic &amp; Labour Party
Trade Unionist and Socialist Coalition
Alba Party
Rejoin EU
Green Party Northern Ireland
People Before Profit Alliance
Party of Women
Socialist Labour Party
Communist Party of Britain
Climate Party
Animal Welfare Party
Women's Equality Party
Workers Revolutionary Party
Scottish Socialist Party
Independence for Scotland Party
Young People's Party
Cross-Community Labour Alternative
The Peace Party - Non-violence, Justice, Environment
Taking The Initiative Party
Alliance For Green Socialism
Social Justice party
Volt United Kingdom
Rebooting Democracy
National Health Action Party
Fairer Voting Party
Socialist Equality Party
Communist League Election Campaign
Common Good
Stockport Fights Austerity No To Cuts
The Socialist Party of Great Britain
Communist Future
The Common People
Independents for Direct Democracy
</t>
        </r>
      </text>
    </comment>
    <comment ref="AY10" authorId="0" shapeId="0">
      <text>
        <r>
          <rPr>
            <sz val="10"/>
            <color rgb="FF000000"/>
            <rFont val="Calibri"/>
            <family val="2"/>
            <scheme val="minor"/>
          </rPr>
          <t xml:space="preserve">Conservative
Liberal Democrat
Alliance
Ulster Unionist Party
Social Democratic Party
The Yorkshire Party
Independent Network
Aontú
Newham Independents Party
Liberal
Ashfield Independents
Lincolnshire Independents Lincolnshire First
One Leicester
Liverpool Community Independents
Swale Independents
Hampshire Independents
Democracy for Chorley
Independent Oxford Alliance
South Devon Alliance
Alliance for Democracy and Freedom
True &amp; Fair Party
The North East Party
Consensus
Kingston Independent Residents Group
Propel
Independent Alliance (Kent)
Confelicity
Portsmouth Independent Party
Transform Party
Putting Crewe First, Independent Residents Group
Blue Revolution
Chesterfield And North Derbyshire Independents (CANDI)
The Mitre TW9
The Yoruba Party in the UK
others:
Independent candidates 
Speaker
New Open Non-Political Organised Leadership
Official Monster Raving Loony Party
Count Binface Party
Psychedelic Movement
</t>
        </r>
      </text>
    </comment>
    <comment ref="AZ10" authorId="0" shapeId="0">
      <text>
        <r>
          <rPr>
            <sz val="10"/>
            <color rgb="FF000000"/>
            <rFont val="Calibri"/>
            <family val="2"/>
            <scheme val="minor"/>
          </rPr>
          <t xml:space="preserve">UK Independence Party
Reform UK
Democratic Unionist Party
Traditional Unionist Voice
Heritage Party
Christian Peoples Alliance
Scottish Family Party
English Democrats
British Democratic Party
English Constitution Party
Abolish the Welsh Assembly Party
Freedom Alliance
Christian Party, Proclaiming Christ's Lordship
British Unionist Party B.U.P.
Scottish Libertarian Party
Sovereignty
Save Us Now
UK Voice
Libertarian Party
</t>
        </r>
      </text>
    </comment>
    <comment ref="BD10" authorId="0" shapeId="0">
      <text>
        <r>
          <rPr>
            <sz val="10"/>
            <color rgb="FF000000"/>
            <rFont val="Calibri"/>
            <family val="2"/>
            <scheme val="minor"/>
          </rPr>
          <t>100 - Turnout</t>
        </r>
      </text>
    </comment>
    <comment ref="BF10" authorId="0" shapeId="0">
      <text>
        <r>
          <rPr>
            <sz val="10"/>
            <color rgb="FF000000"/>
            <rFont val="Calibri"/>
            <family val="2"/>
            <scheme val="minor"/>
          </rPr>
          <t xml:space="preserve">definition is in the code
https://github.com/bixiou/oecd_climate/blob/main/code_oecd/zipcodes/UK_rural.R </t>
        </r>
      </text>
    </comment>
    <comment ref="B11"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1" authorId="0" shapeId="0">
      <text>
        <r>
          <rPr>
            <sz val="10"/>
            <color rgb="FF000000"/>
            <rFont val="Calibri"/>
            <family val="2"/>
            <scheme val="minor"/>
          </rPr>
          <t>Source : 2023 https://www.pxweb.bfs.admin.ch/pxweb/fr/px-x-0102010000_103/-/px-x-0102010000_103.px/table/tableViewLayout2/</t>
        </r>
      </text>
    </comment>
    <comment ref="G11" authorId="0" shapeId="0">
      <text>
        <r>
          <rPr>
            <sz val="10"/>
            <color rgb="FF000000"/>
            <rFont val="Calibri"/>
            <family val="2"/>
            <scheme val="minor"/>
          </rPr>
          <t>Source (year 2023) :
https://www.pxweb.bfs.admin.ch/pxweb/fr/px-x-0102010000_103/-/px-x-0102010000_103.px/table/tableViewLayout2/</t>
        </r>
      </text>
    </comment>
    <comment ref="L11" authorId="0" shapeId="0">
      <text>
        <r>
          <rPr>
            <sz val="10"/>
            <color rgb="FF000000"/>
            <rFont val="Calibri"/>
            <family val="2"/>
            <scheme val="minor"/>
          </rPr>
          <t>OECD 2024
https://gpseducation.oecd.org/CountryProfile?plotter=h5&amp;primaryCountry=CHE&amp;treshold=5&amp;topic=EO</t>
        </r>
      </text>
    </comment>
    <comment ref="O11" authorId="0" shapeId="0">
      <text>
        <r>
          <rPr>
            <sz val="10"/>
            <color rgb="FF000000"/>
            <rFont val="Calibri"/>
            <family val="2"/>
            <scheme val="minor"/>
          </rPr>
          <t>2024 : https://ec.europa.eu/eurostat/databrowser/view/ilc_lvho01__custom_16633018/default/table?lang=en
https://www.atlas.bfs.admin.ch/maps/13/fr/15429_15423_15418_227/24185.html</t>
        </r>
      </text>
    </comment>
    <comment ref="V11" authorId="0" shapeId="0">
      <text>
        <r>
          <rPr>
            <sz val="10"/>
            <color rgb="FF000000"/>
            <rFont val="Calibri"/>
            <family val="2"/>
            <scheme val="minor"/>
          </rPr>
          <t xml:space="preserve">Suisse allemande (1)
Source  (2023)
https://www.atlas.bfs.admin.ch/maps/13/fr/18050_72_71_70/27862.html
https://www.atlas.bfs.admin.ch/maps/13/fr/17316_3072_104_70/26823.html
---------------------------------
Cantons :
Zurich
Berne
Lucerne
Uri
Schwyz
Obwald
Nidwald
Glaris
Zoug
Soleure
Bâle-Ville
Bâle-Campagne
Schaffhouse
Appenzell Rh.-Ext.
Appenzell Rh.-Int.
Saint-Gall
Grisons
Argovie
Thurgovie
zipcode_CH_2 &lt;- zipcode_CH_2 %&gt;%
  mutate(macroregion_num = case_when(
    macroregion == "Suisse alémanique" ~ 1,
    macroregion == "Suisse française" ~ 2,
    macroregion == "Suisse italienne" ~ 3,
    TRUE ~ NA_real_
  ))
</t>
        </r>
      </text>
    </comment>
    <comment ref="W11" authorId="0" shapeId="0">
      <text>
        <r>
          <rPr>
            <sz val="10"/>
            <color rgb="FF000000"/>
            <rFont val="Calibri"/>
            <family val="2"/>
            <scheme val="minor"/>
          </rPr>
          <t xml:space="preserve">Suisse Française (2)
Source  (2023)
https://www.atlas.bfs.admin.ch/maps/13/fr/18050_72_71_70/27862.html
https://www.atlas.bfs.admin.ch/maps/13/fr/17317_3074_104_70/26824.html
-------------------------------
Cantons : 
Fribourg
Vaud
Valais
Neuchâtel
Genève
Jura
</t>
        </r>
      </text>
    </comment>
    <comment ref="X11" authorId="0" shapeId="0">
      <text>
        <r>
          <rPr>
            <sz val="10"/>
            <color rgb="FF000000"/>
            <rFont val="Calibri"/>
            <family val="2"/>
            <scheme val="minor"/>
          </rPr>
          <t xml:space="preserve">Suisse Italienne (3)
Cantons :
Tessin
</t>
        </r>
      </text>
    </comment>
    <comment ref="AU11"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11"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1" authorId="0" shapeId="0">
      <text>
        <r>
          <rPr>
            <sz val="10"/>
            <color rgb="FF000000"/>
            <rFont val="Calibri"/>
            <family val="2"/>
            <scheme val="minor"/>
          </rPr>
          <t xml:space="preserve">élections fédérales suisses de 2023
https://www.elections.admin.ch/fr/ch/#
PS
PCS
PST/Sol.
AVF
VERT-E-S
DS
PVL
</t>
        </r>
      </text>
    </comment>
    <comment ref="AY11" authorId="0" shapeId="0">
      <text>
        <r>
          <rPr>
            <sz val="10"/>
            <color rgb="FF000000"/>
            <rFont val="Calibri"/>
            <family val="2"/>
            <scheme val="minor"/>
          </rPr>
          <t xml:space="preserve">PLR
Centre
PEV
PVL
UDF
MCR
Autres
</t>
        </r>
      </text>
    </comment>
    <comment ref="AZ11" authorId="0" shapeId="0">
      <text>
        <r>
          <rPr>
            <sz val="10"/>
            <color rgb="FF000000"/>
            <rFont val="Calibri"/>
            <family val="2"/>
            <scheme val="minor"/>
          </rPr>
          <t xml:space="preserve">UDC
Lega
</t>
        </r>
      </text>
    </comment>
    <comment ref="B12"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2" authorId="0" shapeId="0">
      <text>
        <r>
          <rPr>
            <sz val="10"/>
            <color rgb="FF000000"/>
            <rFont val="Calibri"/>
            <family val="2"/>
            <scheme val="minor"/>
          </rPr>
          <t>https://www.stat.go.jp/english/data/jinsui/2023np/index.html
Estimates as of October 1, 2023</t>
        </r>
      </text>
    </comment>
    <comment ref="G12" authorId="0" shapeId="0">
      <text>
        <r>
          <rPr>
            <sz val="10"/>
            <color rgb="FF000000"/>
            <rFont val="Calibri"/>
            <family val="2"/>
            <scheme val="minor"/>
          </rPr>
          <t>Estimates as of October 1, 2023
https://www.e-stat.go.jp/en/stat-search/files?page=1&amp;layout=datalist&amp;toukei=00200524&amp;tstat=000000090001&amp;cycle=7&amp;year=20230&amp;month=0&amp;tclass1=000001011679&amp;stat_infid=000040166025&amp;tclass2val=0</t>
        </r>
      </text>
    </comment>
    <comment ref="L12" authorId="0" shapeId="0">
      <text>
        <r>
          <rPr>
            <sz val="10"/>
            <color rgb="FF000000"/>
            <rFont val="Calibri"/>
            <family val="2"/>
            <scheme val="minor"/>
          </rPr>
          <t>Source (OCDE 2024): 
https://gpseducation.oecd.org/CountryProfile?plotter=h5&amp;primaryCountry=GBR&amp;treshold=5&amp;topic=EO</t>
        </r>
      </text>
    </comment>
    <comment ref="M12" authorId="0" shapeId="0">
      <text>
        <r>
          <rPr>
            <sz val="10"/>
            <color rgb="FF000000"/>
            <rFont val="Calibri"/>
            <family val="2"/>
            <scheme val="minor"/>
          </rPr>
          <t>https://gpseducation.oecd.org/IndicatorExplorer?plotter=h5&amp;query=37&amp;indicators=A003*A004*A005*A007*A008*A010*A011*A014*A594*A596*A595*A022*A023*A025*A026*A037*A113*A114*A115*A116*A117*A118*A119*A120*A121*A122*A123*A124*A125*A126*A127*A128*A129*A130*A131*A132*A187*A188*A189*A190*A191*A192*A193*A194*A195*A196*A197*A198*A199*A200*A288*A289*A290*A317*A318*A319*A320*A321*A322*A323*A324*A325*A326*A327*A328*A329*A351*A362*A375*A376*A377*A378*A379*A380*A381*A382*A383*A384*A385*A386*A028*A030*A031*A032*A033*A036*A064*A201*A202*A203*A210*A211*A212*A213*A214*A215*A216*A217*A218*A219*A220*A221*A222*A223*A224*A225*A226*A352*A353*A354*A357*A358*A359*A360*A361*C269*C270*C259*C260*C261*C262*C263*C264*C265*C266*C267*C268*C280*C281*C282*C283*C274*C275*C276*C277*C301*C279*C278*A012*A013*A021*A024*A330*A483*A484*A485*A486*A487*A488*A506*A507*A508*A509*A001*A019*A020*A642*A643*A731*A733*A737*A739*A742*A744*A746*A748*C351*C352*C353*C354*C355*C356*C357*C358*C198*C199*C200*C207*C359*C360*C361*C362*C482*C483*C484*C485*C486*C487*C488*C489*C490*C491*C492*C493*C494*C495*C496*A135*A136*A137*A138*A355*A356*C180*C181*C182*C183*C184*C185*C186*C187*C188*C211*C212*C213*C214*C223*C224*C225*C226*C245*C456*C457*C458*C459*C460*C463*C464*C465*C466*C467*C470*C471*C472*C473*C474*C014*C028*C057*C059*C062*C068*C137*C138*C166*C201*C202*C203*C204*C205*C206*C228*C251*C252*C253*C254*C384*C385*C386*C387*C388*C389*C390*C391*C392*C393*C394*C395*C396*C397*C398*C399</t>
        </r>
      </text>
    </comment>
    <comment ref="O12" authorId="0" shapeId="0">
      <text>
        <r>
          <rPr>
            <sz val="10"/>
            <color rgb="FF000000"/>
            <rFont val="Calibri"/>
            <family val="2"/>
            <scheme val="minor"/>
          </rPr>
          <t>If the municipality type is a "shi" or a "ku".
Source (year 2020):
https://www.e-stat.go.jp/en/regional-statistics/ssdsview/municipality
https://fr.wikipedia.org/wiki/District_(Japon)
https://www.post.japanpost.jp/zipcode/dl/roman-zip.html</t>
        </r>
      </text>
    </comment>
    <comment ref="P12" authorId="0" shapeId="0">
      <text>
        <r>
          <rPr>
            <sz val="10"/>
            <color rgb="FF000000"/>
            <rFont val="Calibri"/>
            <family val="2"/>
            <scheme val="minor"/>
          </rPr>
          <t>If the municipality type is a "cho", "machi", "mura" or "son"</t>
        </r>
      </text>
    </comment>
    <comment ref="V12" authorId="0" shapeId="0">
      <text>
        <r>
          <rPr>
            <sz val="10"/>
            <color rgb="FF000000"/>
            <rFont val="Calibri"/>
            <family val="2"/>
            <scheme val="minor"/>
          </rPr>
          <t>Chubu</t>
        </r>
      </text>
    </comment>
    <comment ref="W12" authorId="0" shapeId="0">
      <text>
        <r>
          <rPr>
            <sz val="10"/>
            <color rgb="FF000000"/>
            <rFont val="Calibri"/>
            <family val="2"/>
            <scheme val="minor"/>
          </rPr>
          <t>Kansai</t>
        </r>
      </text>
    </comment>
    <comment ref="X12" authorId="0" shapeId="0">
      <text>
        <r>
          <rPr>
            <sz val="10"/>
            <color rgb="FF000000"/>
            <rFont val="Calibri"/>
            <family val="2"/>
            <scheme val="minor"/>
          </rPr>
          <t>Kanto</t>
        </r>
      </text>
    </comment>
    <comment ref="Y12" authorId="0" shapeId="0">
      <text>
        <r>
          <rPr>
            <sz val="10"/>
            <color rgb="FF000000"/>
            <rFont val="Calibri"/>
            <family val="2"/>
            <scheme val="minor"/>
          </rPr>
          <t>North</t>
        </r>
      </text>
    </comment>
    <comment ref="Z12" authorId="0" shapeId="0">
      <text>
        <r>
          <rPr>
            <sz val="10"/>
            <color rgb="FF000000"/>
            <rFont val="Calibri"/>
            <family val="2"/>
            <scheme val="minor"/>
          </rPr>
          <t>South</t>
        </r>
      </text>
    </comment>
    <comment ref="AL12" authorId="0" shapeId="0">
      <text>
        <r>
          <rPr>
            <sz val="10"/>
            <color rgb="FF000000"/>
            <rFont val="Calibri"/>
            <family val="2"/>
            <scheme val="minor"/>
          </rPr>
          <t>Educational attainment rate, completed upper secondary education or higher, population 25+ years, both sexes (%)
2020 :  85.18%
So, 
Below upper secondary (25+): 100 - 85.18 = 14.82%
Source : 
https://databrowser.uis.unesco.org/view#indicatorPaths=UIS-SDG4Monitoring%3A0%3AEA.3T8.AG25T99&amp;geoMode=countries&amp;geoUnits=JPN&amp;browsePath=EDUCATION%2FUIS-SDG4Monitoring%2Ft4.4%2Fi4.4.3&amp;timeMode=range&amp;view=table&amp;chartMode=multiple&amp;tableIndicatorId=EA.1T8.AG25T99&amp;chartIndicatorId=EA.2T8.AG25T99&amp;chartHighlightSeries=&amp;chartHighlightEnabled=true</t>
        </r>
      </text>
    </comment>
    <comment ref="AV12"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2" authorId="0" shapeId="0">
      <text>
        <r>
          <rPr>
            <sz val="10"/>
            <color rgb="FF000000"/>
            <rFont val="Calibri"/>
            <family val="2"/>
            <scheme val="minor"/>
          </rPr>
          <t>Constituency : majoritarian system
CDP
Reiwa Shinsengumi
JCP
SDP</t>
        </r>
      </text>
    </comment>
    <comment ref="AY12" authorId="0" shapeId="0">
      <text>
        <r>
          <rPr>
            <sz val="10"/>
            <color rgb="FF000000"/>
            <rFont val="Calibri"/>
            <family val="2"/>
            <scheme val="minor"/>
          </rPr>
          <t xml:space="preserve">LDP
Ishin JIP
DPFP
Komeito
Other </t>
        </r>
      </text>
    </comment>
    <comment ref="AZ12" authorId="0" shapeId="0">
      <text>
        <r>
          <rPr>
            <sz val="10"/>
            <color rgb="FF000000"/>
            <rFont val="Calibri"/>
            <family val="2"/>
            <scheme val="minor"/>
          </rPr>
          <t>Sanseitō
CPJ</t>
        </r>
      </text>
    </comment>
    <comment ref="B13"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3" authorId="0" shapeId="0">
      <text>
        <r>
          <rPr>
            <sz val="10"/>
            <color rgb="FF000000"/>
            <rFont val="Calibri"/>
            <family val="2"/>
            <scheme val="minor"/>
          </rPr>
          <t xml:space="preserve">https://rosstat.gov.ru/folder/12781
Number of men and women (05/07/2024)
</t>
        </r>
      </text>
    </comment>
    <comment ref="G13" authorId="0" shapeId="0">
      <text>
        <r>
          <rPr>
            <sz val="10"/>
            <color rgb="FF000000"/>
            <rFont val="Calibri"/>
            <family val="2"/>
            <scheme val="minor"/>
          </rPr>
          <t>https://rosstat.gov.ru/folder/12781 
Distribution of population by age groups (30/06/2023)</t>
        </r>
      </text>
    </comment>
    <comment ref="L13" authorId="0" shapeId="0">
      <text>
        <r>
          <rPr>
            <sz val="10"/>
            <color rgb="FF000000"/>
            <rFont val="Calibri"/>
            <family val="2"/>
            <scheme val="minor"/>
          </rPr>
          <t>не имеющие
 образования + дошкольное + начальное + основное</t>
        </r>
      </text>
    </comment>
    <comment ref="O13" authorId="0" shapeId="0">
      <text>
        <r>
          <rPr>
            <sz val="10"/>
            <color rgb="FF000000"/>
            <rFont val="Calibri"/>
            <family val="2"/>
            <scheme val="minor"/>
          </rPr>
          <t>https://rosstat.gov.ru/folder/12781
Distribution of population by age groups (30/06/2023)
The separation between urban and rural is given</t>
        </r>
      </text>
    </comment>
    <comment ref="V13" authorId="0" shapeId="0">
      <text>
        <r>
          <rPr>
            <sz val="10"/>
            <color rgb="FF000000"/>
            <rFont val="Calibri"/>
            <family val="2"/>
            <scheme val="minor"/>
          </rPr>
          <t xml:space="preserve">https://городарф.рф/econ-areas.html  
2023
Moscou-Petersbourg
</t>
        </r>
      </text>
    </comment>
    <comment ref="W13" authorId="0" shapeId="0">
      <text>
        <r>
          <rPr>
            <sz val="10"/>
            <color rgb="FF000000"/>
            <rFont val="Calibri"/>
            <family val="2"/>
            <scheme val="minor"/>
          </rPr>
          <t>Northwest</t>
        </r>
      </text>
    </comment>
    <comment ref="X13" authorId="0" shapeId="0">
      <text>
        <r>
          <rPr>
            <sz val="10"/>
            <color rgb="FF000000"/>
            <rFont val="Calibri"/>
            <family val="2"/>
            <scheme val="minor"/>
          </rPr>
          <t>Southwest</t>
        </r>
      </text>
    </comment>
    <comment ref="Y13" authorId="0" shapeId="0">
      <text>
        <r>
          <rPr>
            <sz val="10"/>
            <color rgb="FF000000"/>
            <rFont val="Calibri"/>
            <family val="2"/>
            <scheme val="minor"/>
          </rPr>
          <t>East</t>
        </r>
      </text>
    </comment>
    <comment ref="AL13" authorId="0" shapeId="0">
      <text>
        <r>
          <rPr>
            <sz val="10"/>
            <color rgb="FF000000"/>
            <rFont val="Calibri"/>
            <family val="2"/>
            <scheme val="minor"/>
          </rPr>
          <t>https://rosstat.gov.ru/vpn/2020/Tom3_Obrazovanie
Table 1. Population by age, gender and level of education by subject of the Russian Federation
(31.12.2022)
The proportions are calculated among those who indicated the level of education during the 2020 census, and or aged 18 or over.
139,018,230 people in the census aged 6 or over, including 119,466,511 aged 18 or over. Of this total, 99,003,479 indicated their level of education.
This proportion (10) assumes a homogeneous distribution of non-respondents' education levels</t>
        </r>
      </text>
    </comment>
    <comment ref="AV13" authorId="0" shapeId="0">
      <text>
        <r>
          <rPr>
            <sz val="10"/>
            <color rgb="FF000000"/>
            <rFont val="Calibri"/>
            <family val="2"/>
            <scheme val="minor"/>
          </rPr>
          <t>Source (2022) : 
https://data-explorer.oecd.org/vis?lc=en&amp;df[ds]=DisseminateFinalDMZ&amp;df[id]=DSD_LFS%40DF_LFS_INDIC&amp;df[ag]=OECD.ELS.SAE&amp;df[vs]=1.1&amp;dq=..._T._T.UNE&amp;lom=LASTNPERIODS&amp;lo=5&amp;to[TIME_PERIOD]=false&amp;vw=tb</t>
        </r>
      </text>
    </comment>
    <comment ref="AW13" authorId="0" shapeId="0">
      <text>
        <r>
          <rPr>
            <sz val="10"/>
            <color rgb="FF000000"/>
            <rFont val="Calibri"/>
            <family val="2"/>
            <scheme val="minor"/>
          </rPr>
          <t>2022
https://data-explorer.oecd.org/vis?lc=en&amp;df[ds]=DisseminateFinalDMZ&amp;df[id]=DSD_LFS%40DF_LFS_INDIC&amp;df[ag]=OECD.ELS.SAE&amp;df[vs]=1.1&amp;dq=RUS%2BUSA%2BGBR%2BCHE%2BESP%2BPOL%2BJPN%2BITA%2BDEU%2BFRA..PT_POP_SUB._T.Y25T64%2B_T.EMP&amp;lom=LASTNPERIODS&amp;lo=3&amp;to[TIME_PERIOD]=false&amp;vw=tb</t>
        </r>
      </text>
    </comment>
    <comment ref="B14"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4" authorId="0" shapeId="0">
      <text>
        <r>
          <rPr>
            <sz val="10"/>
            <color rgb="FF000000"/>
            <rFont val="Calibri"/>
            <family val="2"/>
            <scheme val="minor"/>
          </rPr>
          <t xml:space="preserve">
Source (year 2022) :  General Authority for Statistics (GASTAT)  / Ministry of Economy and Planning
https://datasaudi.sa/en/data-explorer
-&gt; Social indicators / Population / / Population by detailed Age, Region, Governorate, Nationality and Gender 2022)
Calcul : (Women 18+ / Pop 18+) * 1000
Quota by Sex and Nationality 
 (Total 18+ ) :
Saudi Women : 244
Non-Saudi Women : 104
</t>
        </r>
      </text>
    </comment>
    <comment ref="F14" authorId="0" shapeId="0">
      <text>
        <r>
          <rPr>
            <sz val="10"/>
            <color rgb="FF000000"/>
            <rFont val="Calibri"/>
            <family val="2"/>
            <scheme val="minor"/>
          </rPr>
          <t>Source (year 2022) :  General Authority for Statistics (GASTAT)  / Ministry of Economy and Planning
https://datasaudi.sa/en/data-explorer
-&gt; Social indicators / Population / / Population by detailed Age, Region, Governorate, Nationality and Gender 2022)
Calcul : (Men 18+ / Pop 18+) * 1000
------------------------------------------
Quota by Sex and Nationality 2022 (Total 18+ ) :
Saudi Men : 241
Non Saudi men : 411</t>
        </r>
      </text>
    </comment>
    <comment ref="G14" authorId="0" shapeId="0">
      <text>
        <r>
          <rPr>
            <sz val="10"/>
            <color rgb="FF000000"/>
            <rFont val="Calibri"/>
            <family val="2"/>
            <scheme val="minor"/>
          </rPr>
          <t>Source (year 2024) :  General Authority for Statistics (GASTAT)  / Ministry of Economy and Planning
https://datasaudi.sa/en/data-explorer
-&gt; Social indicators / Population / Population by Sex and Age Range
Calcul : (Pop 18-24 / Pop 18+) * 1000
*Pop (18 et 19) = Pop(15–19) × (2 / 5)
Data as of 26th March 2025</t>
        </r>
      </text>
    </comment>
    <comment ref="H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25-34 / Pop 18+) * 1000
</t>
        </r>
      </text>
    </comment>
    <comment ref="I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34-49 / Pop 18+) * 1000
</t>
        </r>
      </text>
    </comment>
    <comment ref="J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50-64 / Pop 18+) * 1000
</t>
        </r>
      </text>
    </comment>
    <comment ref="K14" authorId="0" shapeId="0">
      <text>
        <r>
          <rPr>
            <sz val="10"/>
            <color rgb="FF000000"/>
            <rFont val="Calibri"/>
            <family val="2"/>
            <scheme val="minor"/>
          </rPr>
          <t xml:space="preserve">Source (year 2024) :  General Authority for Statistics (GASTAT)  / Ministry of Economy and Planning
https://datasaudi.sa/en/data-explorer
-&gt; Social indicators / Population / Population by Sex and Age Range
Calcul : (Pop 64+ / Pop 18+) * 1000
</t>
        </r>
      </text>
    </comment>
    <comment ref="O14" authorId="0" shapeId="0">
      <text>
        <r>
          <rPr>
            <sz val="10"/>
            <color rgb="FF000000"/>
            <rFont val="Calibri"/>
            <family val="2"/>
            <scheme val="minor"/>
          </rPr>
          <t xml:space="preserve">
854
https://unhabitat.org/sites/default/files/documents/2020-05/saudi_cities_report_-_excutive_summary_english.pdf
https://data.worldbank.org/indicator/SP.URB.TOTL.IN.ZS?locations=SA</t>
        </r>
      </text>
    </comment>
    <comment ref="V14" authorId="0" shapeId="0">
      <text>
        <r>
          <rPr>
            <sz val="10"/>
            <color rgb="FF000000"/>
            <rFont val="Calibri"/>
            <family val="2"/>
            <scheme val="minor"/>
          </rPr>
          <t xml:space="preserve">South (1)
Al-Baha
Aseer
Jazan
Najran
</t>
        </r>
      </text>
    </comment>
    <comment ref="W14" authorId="0" shapeId="0">
      <text>
        <r>
          <rPr>
            <sz val="10"/>
            <color rgb="FF000000"/>
            <rFont val="Calibri"/>
            <family val="2"/>
            <scheme val="minor"/>
          </rPr>
          <t>West (2):
Al-Madinah Al-Monawarah
Makkah Al-Mokarramah
Tabouk
Source Pop (2022)
https://datasaudi.sa/en/data-explorer?cube=gastat_population_province_sex_nationality&amp;locale=en&amp;drilldowns=Province%2CSex%2CYear%2CNationality&amp;measures=Population&amp;limit=100%2C0&amp;panel=table
Division in 4 regions : 
DIvisé par IDH (sauf Hail car zipcode 5, pareil à Al-Qaseem - Centre)
https://en.wikipedia.org/wiki/List_of_regions_of_Saudi_Arabia_by_Human_Development_Index
https://ar.wikipedia.org/wiki/%D8%A7%D9%84%D8%B1%D9%85%D8%B2_%D8%A7%D9%84%D8%A8%D8%B1%D9%8A%D8%AF%D9%8A_(%D8%A7%D9%84%D8%B3%D8%B9%D9%88%D8%AF%D9%8A%D8%A9)#cite_ref-%D9%85%D9%88%D9%84%D8%AF_%D8%AA%D9%84%D9%82%D8%A7%D8%A6%D9%8A%D8%A71_1-0
aussi
https://web.archive.org/web/20140303165120/http://www.sp.com.sa/English/ProductsandServices/Pages/PostalCoding.aspx</t>
        </r>
      </text>
    </comment>
    <comment ref="X14" authorId="0" shapeId="0">
      <text>
        <r>
          <rPr>
            <sz val="10"/>
            <color rgb="FF000000"/>
            <rFont val="Calibri"/>
            <family val="2"/>
            <scheme val="minor"/>
          </rPr>
          <t xml:space="preserve">Centre et  North (3)
Hail * zipcode commence par 5 aussi
Al-Qaseem
Al-Riyadh
 Northern Region, Al-Jouf 
------- CSV-----
Centre et North ~3
Eastern ~4
South ~ 1
West  ~ 2
</t>
        </r>
      </text>
    </comment>
    <comment ref="Y14" authorId="0" shapeId="0">
      <text>
        <r>
          <rPr>
            <sz val="10"/>
            <color rgb="FF000000"/>
            <rFont val="Calibri"/>
            <family val="2"/>
            <scheme val="minor"/>
          </rPr>
          <t xml:space="preserve">Eastern Region (4)
</t>
        </r>
      </text>
    </comment>
    <comment ref="AA14" authorId="0" shapeId="0">
      <text>
        <r>
          <rPr>
            <sz val="10"/>
            <color rgb="FF000000"/>
            <rFont val="Calibri"/>
            <family val="2"/>
            <scheme val="minor"/>
          </rPr>
          <t xml:space="preserve">Saudi Women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Women18+/Pop 18+)*1000
&amp; https://www.stats.gov.sa/documents/20117/2435273/Population+Estimates+Statistics+2024+EN.pdf/9b71e303-5fd9-19cb-9913-850a9d521639?t=1738859947691
</t>
        </r>
      </text>
    </comment>
    <comment ref="AB14" authorId="0" shapeId="0">
      <text>
        <r>
          <rPr>
            <sz val="10"/>
            <color rgb="FF000000"/>
            <rFont val="Calibri"/>
            <family val="2"/>
            <scheme val="minor"/>
          </rPr>
          <t xml:space="preserve">Non Saudi WOmen
Calcul : (Non-Saudi Women 18+/Pop 18+)*1000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Women18+/Pop 18+)*1000
</t>
        </r>
      </text>
    </comment>
    <comment ref="AC14" authorId="0" shapeId="0">
      <text>
        <r>
          <rPr>
            <sz val="10"/>
            <color rgb="FF000000"/>
            <rFont val="Calibri"/>
            <family val="2"/>
            <scheme val="minor"/>
          </rPr>
          <t xml:space="preserve">Saudi Men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Men18+/Pop 18+)*1000
</t>
        </r>
      </text>
    </comment>
    <comment ref="AD14" authorId="0" shapeId="0">
      <text>
        <r>
          <rPr>
            <sz val="10"/>
            <color rgb="FF000000"/>
            <rFont val="Calibri"/>
            <family val="2"/>
            <scheme val="minor"/>
          </rPr>
          <t xml:space="preserve">Non Saudi Men
Source (year 2022) :  General Authority for Statistics (GASTAT)  / Ministry of Economy and Planning
https://datasaudi.sa/en/data-explorer
-&gt; Social indicators / Population / / Population by detailed Age, Region, Governorate, Nationality and Gender 2022
Quota by Sex and Nationality 2022 (Total 18+ ) 
Calcul : (Saudi Men18+/Pop 18+)*1000
</t>
        </r>
      </text>
    </comment>
    <comment ref="AL14" authorId="0" shapeId="0">
      <text>
        <r>
          <rPr>
            <sz val="10"/>
            <color rgb="FF000000"/>
            <rFont val="Calibri"/>
            <family val="2"/>
            <scheme val="minor"/>
          </rPr>
          <t>2020
https://data-explorer.oecd.org/vis?tenant=archive&amp;df[ds]=DisseminateArchiveDMZ&amp;df[id]=DF_EAG_NEAC&amp;df[ag]=OECD&amp;dq=.L5T8%2BL3T4%2BL0T2.T.Y25T64..VALUE.NEAC_SHARE_EA&amp;pd=2020%2C2025&amp;to[TIME_PERIOD]=false&amp;vw=tb</t>
        </r>
      </text>
    </comment>
    <comment ref="BF14" authorId="0" shapeId="0">
      <text>
        <r>
          <rPr>
            <sz val="10"/>
            <color rgb="FF000000"/>
            <rFont val="Calibri"/>
            <family val="2"/>
            <scheme val="minor"/>
          </rPr>
          <t>https://www.stats.gov.sa/documents/20117/2435099/statistical_definitions_manual_english.pdf/9fd31cc6-c09b-a85a-abc8-6f3d1367105f?t=1733923142483
 Urban and rural areas according to the criteria set by 
Saudi Arabia:
 1. Urban areas: population concentration more than 100,000 
people.
 2. Other civilian: The average population is between (more 
than 5000 inhabitants and less than or equal to (100,000 
people).
 3. Rural areas: Population concentration is less than or equal 
to 5,000 People.</t>
        </r>
      </text>
    </comment>
    <comment ref="B15" authorId="0" shapeId="0">
      <text>
        <r>
          <rPr>
            <sz val="10"/>
            <color rgb="FF000000"/>
            <rFont val="Calibri"/>
            <family val="2"/>
            <scheme val="minor"/>
          </rPr>
          <t>source(2023 ): World Population Prospects 2024 File POP/03-1: Total population (both sexes combined) by select age group, region, subregion and country, annually for 1950-2100 (thousands)
https://population.un.org/wpp/assets/Excel%20Files/1_Indicator%20(Standard)/EXCEL_FILES/2_Population/WPP2024_POP_F03_1_POPULATION_SELECT_AGE_GROUPS_BOTH_SEXES.xlsx
POP 18+</t>
        </r>
      </text>
    </comment>
    <comment ref="E15" authorId="0" shapeId="0">
      <text>
        <r>
          <rPr>
            <sz val="10"/>
            <color rgb="FF000000"/>
            <rFont val="Calibri"/>
            <family val="2"/>
            <scheme val="minor"/>
          </rPr>
          <t>Source (year 2024) Census updated
https://www.census.gov/quickfacts/fact/table/US/SEX255223#SEX255223</t>
        </r>
      </text>
    </comment>
    <comment ref="G15" authorId="0" shapeId="0">
      <text>
        <r>
          <rPr>
            <sz val="10"/>
            <color rgb="FF000000"/>
            <rFont val="Calibri"/>
            <family val="2"/>
            <scheme val="minor"/>
          </rPr>
          <t xml:space="preserve">Source (year 2023) : 
https://data.census.gov/table/ACSST1Y2023.S0101?q=Age+and+Sex&amp;moe=false
</t>
        </r>
      </text>
    </comment>
    <comment ref="L15" authorId="0" shapeId="0">
      <text>
        <r>
          <rPr>
            <sz val="10"/>
            <color rgb="FF000000"/>
            <rFont val="Calibri"/>
            <family val="2"/>
            <scheme val="minor"/>
          </rPr>
          <t>OECD 2023</t>
        </r>
      </text>
    </comment>
    <comment ref="O15" authorId="0" shapeId="0">
      <text>
        <r>
          <rPr>
            <sz val="10"/>
            <color rgb="FF000000"/>
            <rFont val="Calibri"/>
            <family val="2"/>
            <scheme val="minor"/>
          </rPr>
          <t xml:space="preserve">The most accurate data to deal with urbanity seems to be that from the census 2020
https://data.census.gov/table?q=All+5-digit+ZIP+Code+Tabulation+Areas+within+United+States+Populations+and+People
justification :
https://www.census.gov/programs-surveys/acs/guidance/comparing-acs-data.html
</t>
        </r>
      </text>
    </comment>
    <comment ref="V15" authorId="0" shapeId="0">
      <text>
        <r>
          <rPr>
            <sz val="10"/>
            <color rgb="FF000000"/>
            <rFont val="Calibri"/>
            <family val="2"/>
            <scheme val="minor"/>
          </rPr>
          <t>Northeast 
Source (2024 estimate): https://www.census.gov/data/tables/time-series/demo/popest/2020s-counties-total.html</t>
        </r>
      </text>
    </comment>
    <comment ref="W15" authorId="0" shapeId="0">
      <text>
        <r>
          <rPr>
            <sz val="10"/>
            <color rgb="FF000000"/>
            <rFont val="Calibri"/>
            <family val="2"/>
            <scheme val="minor"/>
          </rPr>
          <t>Midwest</t>
        </r>
      </text>
    </comment>
    <comment ref="X15" authorId="0" shapeId="0">
      <text>
        <r>
          <rPr>
            <sz val="10"/>
            <color rgb="FF000000"/>
            <rFont val="Calibri"/>
            <family val="2"/>
            <scheme val="minor"/>
          </rPr>
          <t>South</t>
        </r>
      </text>
    </comment>
    <comment ref="Y15" authorId="0" shapeId="0">
      <text>
        <r>
          <rPr>
            <sz val="10"/>
            <color rgb="FF000000"/>
            <rFont val="Calibri"/>
            <family val="2"/>
            <scheme val="minor"/>
          </rPr>
          <t>West</t>
        </r>
      </text>
    </comment>
    <comment ref="AA15" authorId="0" shapeId="0">
      <text>
        <r>
          <rPr>
            <sz val="10"/>
            <color rgb="FF000000"/>
            <rFont val="Calibri"/>
            <family val="2"/>
            <scheme val="minor"/>
          </rPr>
          <t>https://www.census.gov/quickfacts/fact/table/US/RHI725223#RHI725223</t>
        </r>
      </text>
    </comment>
    <comment ref="AU15" authorId="0" shapeId="0">
      <text>
        <r>
          <rPr>
            <sz val="10"/>
            <color rgb="FF000000"/>
            <rFont val="Calibri"/>
            <family val="2"/>
            <scheme val="minor"/>
          </rPr>
          <t>Age: From 25 to 64 years
Source (2023) :
https://data-explorer.oecd.org/vis?tm=inactivity&amp;pg=0&amp;snb=17&amp;vw=tb&amp;df[ds]=dsDisseminateFinalDMZ&amp;df[id]=DSD_EAG_LSO_EA%40DF_LSO_NEAC_INAC&amp;df[ag]=OECD.EDU.IMEP&amp;df[vs]=1.0&amp;dq=FRA%2BDEU%2BITA%2BJPN%2BLVA%2BMEX%2BPOL%2BESP%2BCHE%2BGBR%2BUSA%2BOECD%2BIND%2BROU%2BZAF._T.Y25T64._T..........OBS...A&amp;lom=LASTNOBSERVATIONS&amp;lo=1&amp;pd=2020%2C2023&amp;to[TIME_PERIOD]=true</t>
        </r>
      </text>
    </comment>
    <comment ref="AV15" authorId="0" shapeId="0">
      <text>
        <r>
          <rPr>
            <sz val="10"/>
            <color rgb="FF000000"/>
            <rFont val="Calibri"/>
            <family val="2"/>
            <scheme val="minor"/>
          </rPr>
          <t>Source 2023 :
https://data-explorer.oecd.org/vis?lc=en&amp;df[ds]=DisseminateFinalDMZ&amp;df[id]=DSD_LFS%40DF_LFS_INDIC&amp;df[ag]=OECD.ELS.SAE&amp;df[vs]=1.1&amp;dq=..._T._T.UNE&amp;lom=LASTNPERIODS&amp;lo=5&amp;to[TIME_PERIOD]=false&amp;vw=tb</t>
        </r>
      </text>
    </comment>
    <comment ref="AX15" authorId="0" shapeId="0">
      <text>
        <r>
          <rPr>
            <sz val="10"/>
            <color rgb="FF000000"/>
            <rFont val="Calibri"/>
            <family val="2"/>
            <scheme val="minor"/>
          </rPr>
          <t xml:space="preserve">https://www.reuters.com/graphics/USA-ELECTION/RESULTS/zjpqnemxwvx/
Turnout (VEP) :
https://www.presidency.ucsb.edu/statistics/data/voter-turnout-in-presidential-elections 
% inscrits (par 1000)
307
</t>
        </r>
      </text>
    </comment>
    <comment ref="AY15" authorId="0" shapeId="0">
      <text>
        <r>
          <rPr>
            <sz val="10"/>
            <color rgb="FF000000"/>
            <rFont val="Calibri"/>
            <family val="2"/>
            <scheme val="minor"/>
          </rPr>
          <t xml:space="preserve">% inscrits (par 1000)
317
</t>
        </r>
      </text>
    </comment>
    <comment ref="AO26" authorId="0" shapeId="0">
      <text>
        <r>
          <rPr>
            <sz val="10"/>
            <color rgb="FF000000"/>
            <rFont val="Calibri"/>
            <family val="2"/>
            <scheme val="minor"/>
          </rPr>
          <t>updated (year 2024)
https://www.census.gov/data/tables/time-series/demo/popest/2020s-counties-total.html#v2024</t>
        </r>
      </text>
    </comment>
  </commentList>
</comments>
</file>

<file path=xl/sharedStrings.xml><?xml version="1.0" encoding="utf-8"?>
<sst xmlns="http://schemas.openxmlformats.org/spreadsheetml/2006/main" count="2220" uniqueCount="1265">
  <si>
    <t>Country</t>
  </si>
  <si>
    <t>US</t>
  </si>
  <si>
    <t>£</t>
  </si>
  <si>
    <t>$</t>
  </si>
  <si>
    <t>DE</t>
  </si>
  <si>
    <t>IT</t>
  </si>
  <si>
    <t>PL</t>
  </si>
  <si>
    <t>JP</t>
  </si>
  <si>
    <t>FR</t>
  </si>
  <si>
    <t>year</t>
  </si>
  <si>
    <t>month</t>
  </si>
  <si>
    <t>monthly</t>
  </si>
  <si>
    <t>yearly</t>
  </si>
  <si>
    <t>Saudi Arabia</t>
  </si>
  <si>
    <t>Switzerland</t>
  </si>
  <si>
    <t>EU</t>
  </si>
  <si>
    <t>ES</t>
  </si>
  <si>
    <t>GB</t>
  </si>
  <si>
    <t>CH</t>
  </si>
  <si>
    <t>RU</t>
  </si>
  <si>
    <t>SA</t>
  </si>
  <si>
    <t>d1</t>
  </si>
  <si>
    <t>d2</t>
  </si>
  <si>
    <t>d3</t>
  </si>
  <si>
    <t>d4</t>
  </si>
  <si>
    <t>d5</t>
  </si>
  <si>
    <t>q1</t>
  </si>
  <si>
    <t>d6</t>
  </si>
  <si>
    <t>d7</t>
  </si>
  <si>
    <t>q3</t>
  </si>
  <si>
    <t>d8</t>
  </si>
  <si>
    <t>d9</t>
  </si>
  <si>
    <t>country</t>
  </si>
  <si>
    <t>-</t>
  </si>
  <si>
    <t>Plan mondial pour le climat</t>
  </si>
  <si>
    <t>IT-CH</t>
  </si>
  <si>
    <t>now_10k</t>
  </si>
  <si>
    <t>unit</t>
  </si>
  <si>
    <t>now_40k</t>
  </si>
  <si>
    <t>now_60k</t>
  </si>
  <si>
    <t>now_100k</t>
  </si>
  <si>
    <t>$/year</t>
  </si>
  <si>
    <t>£/year</t>
  </si>
  <si>
    <t>Income after global redistribution</t>
  </si>
  <si>
    <t>text_unit</t>
  </si>
  <si>
    <t>text_current</t>
  </si>
  <si>
    <t>text_after</t>
  </si>
  <si>
    <t>text_title</t>
  </si>
  <si>
    <t>text_benefit</t>
  </si>
  <si>
    <t>text_lose</t>
  </si>
  <si>
    <t>text_degree</t>
  </si>
  <si>
    <t>Current income</t>
  </si>
  <si>
    <t>Degree of redistribution:</t>
  </si>
  <si>
    <t>step_major</t>
  </si>
  <si>
    <t>step_minor</t>
  </si>
  <si>
    <t>DE-CH</t>
  </si>
  <si>
    <t>FR-CH</t>
  </si>
  <si>
    <t>AR</t>
  </si>
  <si>
    <t>EN-GB</t>
  </si>
  <si>
    <t>ES-US</t>
  </si>
  <si>
    <t>EN</t>
  </si>
  <si>
    <t>JA</t>
  </si>
  <si>
    <t>amount_bi</t>
  </si>
  <si>
    <t>periodicity</t>
  </si>
  <si>
    <t>amount_lost</t>
  </si>
  <si>
    <t>amount_lottery</t>
  </si>
  <si>
    <t>country_name</t>
  </si>
  <si>
    <t>la France</t>
  </si>
  <si>
    <t>emissions_low_with</t>
  </si>
  <si>
    <t>emissions_with</t>
  </si>
  <si>
    <t>emissions_mid_with</t>
  </si>
  <si>
    <t>emissions_high_with</t>
  </si>
  <si>
    <t>periodicity_tax</t>
  </si>
  <si>
    <t>lcu_120k</t>
  </si>
  <si>
    <t>lcu_130k</t>
  </si>
  <si>
    <t>lcu_10k</t>
  </si>
  <si>
    <t>lcu_1500</t>
  </si>
  <si>
    <t>lcu_200k</t>
  </si>
  <si>
    <t>lcu_100k</t>
  </si>
  <si>
    <t>affected_top3</t>
  </si>
  <si>
    <t>affected_top1</t>
  </si>
  <si>
    <t>transfer_top1</t>
  </si>
  <si>
    <t>transfer_top3</t>
  </si>
  <si>
    <t>lcu_80k</t>
  </si>
  <si>
    <t>lcu_90k</t>
  </si>
  <si>
    <t>lcu_1M</t>
  </si>
  <si>
    <t>lcu_75k</t>
  </si>
  <si>
    <t>lcu_150k</t>
  </si>
  <si>
    <t>lcu_10k_top3</t>
  </si>
  <si>
    <t>$1,500</t>
  </si>
  <si>
    <t>$10,000</t>
  </si>
  <si>
    <t>$75,000</t>
  </si>
  <si>
    <t>$80,000</t>
  </si>
  <si>
    <t>$90,000</t>
  </si>
  <si>
    <t>$100,000</t>
  </si>
  <si>
    <t>$120,000</t>
  </si>
  <si>
    <t>$130,000</t>
  </si>
  <si>
    <t>$150,000</t>
  </si>
  <si>
    <t>$200,000</t>
  </si>
  <si>
    <t>$1 million</t>
  </si>
  <si>
    <t>lcu_1500_top3</t>
  </si>
  <si>
    <t>tax_country_name</t>
  </si>
  <si>
    <t>En France</t>
  </si>
  <si>
    <t>tax_country_gdp</t>
  </si>
  <si>
    <t>tax_revenue</t>
  </si>
  <si>
    <t>tax_threshold</t>
  </si>
  <si>
    <t>U.S. GDP</t>
  </si>
  <si>
    <t>$5 million</t>
  </si>
  <si>
    <t>tax_revenue_gdp</t>
  </si>
  <si>
    <t>wealth_threshold</t>
  </si>
  <si>
    <t>Net gain per adult\nfollowing the\nGlobal Climate Scheme\nin 2030\n(in % of GDP)</t>
  </si>
  <si>
    <t>gcs_high_legend</t>
  </si>
  <si>
    <t>na_label</t>
  </si>
  <si>
    <t>nationality</t>
  </si>
  <si>
    <t>American</t>
  </si>
  <si>
    <t>American people</t>
  </si>
  <si>
    <t>country_adjective</t>
  </si>
  <si>
    <t>ics_country</t>
  </si>
  <si>
    <t>the United Kingdom</t>
  </si>
  <si>
    <t>the United States</t>
  </si>
  <si>
    <t>country_adjective_plural</t>
  </si>
  <si>
    <t>Americans</t>
  </si>
  <si>
    <t>developed_note</t>
  </si>
  <si>
    <t>developed_note_long</t>
  </si>
  <si>
    <t>election</t>
  </si>
  <si>
    <t>2024 presidential election</t>
  </si>
  <si>
    <t>2023 Swiss federal election</t>
  </si>
  <si>
    <t>belief_nationality</t>
  </si>
  <si>
    <t>Europeans</t>
  </si>
  <si>
    <t>Revenu actuel</t>
  </si>
  <si>
    <t>Revenu après la redistribution mondiale</t>
  </si>
  <si>
    <t>100&amp;nbsp;€</t>
  </si>
  <si>
    <t>Degré de redistribution&amp;nbsp;:</t>
  </si>
  <si>
    <t>1 million d'euros</t>
  </si>
  <si>
    <t>PIB Français</t>
  </si>
  <si>
    <t>5 millions d'euros</t>
  </si>
  <si>
    <t>Non Participant</t>
  </si>
  <si>
    <t>Français</t>
  </si>
  <si>
    <t>l'Union Européenne</t>
  </si>
  <si>
    <t>élections européennes de 2024</t>
  </si>
  <si>
    <t>Américains</t>
  </si>
  <si>
    <t>5&amp;nbsp;000&amp;nbsp;€</t>
  </si>
  <si>
    <t>6&amp;nbsp;000&amp;nbsp;€</t>
  </si>
  <si>
    <t>60&amp;nbsp;000&amp;nbsp;€</t>
  </si>
  <si>
    <t>1&amp;nbsp;000&amp;nbsp;€</t>
  </si>
  <si>
    <t>4&amp;nbsp;500&amp;nbsp;€</t>
  </si>
  <si>
    <t>9&amp;nbsp;000&amp;nbsp;€</t>
  </si>
  <si>
    <t>7&amp;nbsp;500&amp;nbsp;€</t>
  </si>
  <si>
    <t>7&amp;nbsp;000&amp;nbsp;€</t>
  </si>
  <si>
    <t>8&amp;nbsp;500&amp;nbsp;€</t>
  </si>
  <si>
    <t>14&amp;nbsp;000&amp;nbsp;€</t>
  </si>
  <si>
    <t>$100</t>
  </si>
  <si>
    <t>emissions_high_without</t>
  </si>
  <si>
    <t>nb_countries_high</t>
  </si>
  <si>
    <t>hic_tax</t>
  </si>
  <si>
    <t>intl_tax</t>
  </si>
  <si>
    <t>hic_tax_en</t>
  </si>
  <si>
    <t>intl_tax_en</t>
  </si>
  <si>
    <t>Imagine that all other high-income countries (such as the United States, Japan, Germany, France, the United Kingdom...) adopt this policy and some middle-income countries (such as China) do not.</t>
  </si>
  <si>
    <t>Imagine that all other high-income countries (such as the United States, Japan, France, Italy, the United Kingdom...) adopt this policy and some middle-income countries (such as China) do not.</t>
  </si>
  <si>
    <t>Imagine that all other high-income countries (such as the United States, Japan, Germany, Italy, the United Kingdom...) adopt this policy and some middle-income countries (such as China) do not.</t>
  </si>
  <si>
    <t>Imagine that all other high-income countries (such as the United States, Japan, Germany, France, Italy...) adopt this policy and some middle-income countries (such as China) do not.</t>
  </si>
  <si>
    <t>Imagine that all other high-income countries (such as the United States, the European Union, Japan...) adopt this policy and some middle-income countries (such as China) do not.</t>
  </si>
  <si>
    <t>Imagine that all other high-income countries (such as the United States, the European Union, South Korea...) adopt this policy and some middle-income countries (such as China) do not.</t>
  </si>
  <si>
    <t>Imagine that all other high-income countries (such as the European Union, Japan, Canada...) adopt this policy and some middle-income countries (such as China) do not.</t>
  </si>
  <si>
    <t>text_countries_high</t>
  </si>
  <si>
    <t>the European Union, Japan, the United Kingdom</t>
  </si>
  <si>
    <t>the European Union, Japan</t>
  </si>
  <si>
    <t>nb_countries_low</t>
  </si>
  <si>
    <t>Income (after taxes and transfers) of human adults, from the poorest to the richest</t>
  </si>
  <si>
    <t>£100</t>
  </si>
  <si>
    <t>£1,500</t>
  </si>
  <si>
    <t>£10,000</t>
  </si>
  <si>
    <t>£80,000</t>
  </si>
  <si>
    <t>£90,000</t>
  </si>
  <si>
    <t>£100,000</t>
  </si>
  <si>
    <t>£1 million</t>
  </si>
  <si>
    <t>UK GDP</t>
  </si>
  <si>
    <t>British people</t>
  </si>
  <si>
    <t>Revenu (après impôts et transferts) des adultes humains, du plus pauvre au plus riche</t>
  </si>
  <si>
    <t>le Japon, le Royaume-Uni</t>
  </si>
  <si>
    <t>Imaginez que tous les autres pays à hauts revenus (tels que les États-Unis, le Japon, l'Allemagne, l'Italie, le Royaume-Uni...) adoptent cette mesure et que certains pays à revenus moyens (tels que la Chine) ne l'adoptent pas.</t>
  </si>
  <si>
    <t>Imagine that some countries (such as the European Union, the United Kingdom, and Brazil) adopt this policy and others (such as Japan, Canada, and China) do not.</t>
  </si>
  <si>
    <t>Imagine that some countries (such as the European Union, Brazil, and South Korea) adopt this policy and others (such as the United States and China) do not.</t>
  </si>
  <si>
    <t>Imagine that some countries (such as Germany, France, Spain, the United Kingdom, Brazil...) adopt this policy and others (such as the United States and China) do not.</t>
  </si>
  <si>
    <t>Imagine that some countries (such as France, Spain, the United Kingdom, Brazil...) adopt this policy and others (such as the United States and China) do not.</t>
  </si>
  <si>
    <t>Imagine that some countries (such as Germany, Spain, the United Kingdom, Brazil...) adopt this policy and others (such as the United States and China) do not.</t>
  </si>
  <si>
    <t>Imaginez que certains pays (tels que l'Allemagne, l'Espagne, le Royaume-Uni, le Brésil...) adoptent cette mesure et que d'autres pays (tels que les États-Unis et la Chine) ne l'adoptent pas.</t>
  </si>
  <si>
    <t>Imagine that some countries (such as the European Union, the United Kingdom, and Brazil) adopt this policy and others (such as the United States and China) do not.</t>
  </si>
  <si>
    <t>elezioni federali in Svizzera del 2023</t>
  </si>
  <si>
    <t>élections fédérales suisses de 2023</t>
  </si>
  <si>
    <t>Schweizer Parlamentswahlen 2023</t>
  </si>
  <si>
    <t>In Deutschland</t>
  </si>
  <si>
    <t>In Italia</t>
  </si>
  <si>
    <t>En España</t>
  </si>
  <si>
    <t>In Switzerland</t>
  </si>
  <si>
    <t>日本では</t>
  </si>
  <si>
    <t>В России</t>
  </si>
  <si>
    <t>في المملكة العربية السعودية</t>
  </si>
  <si>
    <t>En Suisse</t>
  </si>
  <si>
    <t>In der Schweiz</t>
  </si>
  <si>
    <t>In Svizzera</t>
  </si>
  <si>
    <t>En EE.UU.</t>
  </si>
  <si>
    <t>Deutschland</t>
  </si>
  <si>
    <t>Italia</t>
  </si>
  <si>
    <t>Polska</t>
  </si>
  <si>
    <t>España</t>
  </si>
  <si>
    <t>日本</t>
  </si>
  <si>
    <t>Россия</t>
  </si>
  <si>
    <t>المملكة العربية السعودية</t>
  </si>
  <si>
    <t>die Schweiz</t>
  </si>
  <si>
    <t>la Suisse</t>
  </si>
  <si>
    <t>Svizzera</t>
  </si>
  <si>
    <t>20,000円</t>
  </si>
  <si>
    <t>Japan, das Vereinigte Königreich</t>
  </si>
  <si>
    <t>Japón, Reino Unido</t>
  </si>
  <si>
    <t>l'Unione Europea, il Giappone, il Regno Unito</t>
  </si>
  <si>
    <t>l'Union européenne, le Japon, le Royaume-Uni</t>
  </si>
  <si>
    <t>die Europäische Union, Japan, das Vereinigte Königreich</t>
  </si>
  <si>
    <t>la Unión Europea, Japón, el Reino Unido</t>
  </si>
  <si>
    <t>150&amp;nbsp;€</t>
  </si>
  <si>
    <t>CHF&amp;nbsp;100</t>
  </si>
  <si>
    <t>10&amp;nbsp;000&amp;nbsp;руб.</t>
  </si>
  <si>
    <t>100&amp;nbsp;CHF</t>
  </si>
  <si>
    <t>85,000&amp;nbsp;CHF</t>
  </si>
  <si>
    <t>140,000&amp;nbsp;CHF</t>
  </si>
  <si>
    <t>10,000&amp;nbsp;CHF</t>
  </si>
  <si>
    <t>1,500&amp;nbsp;CHF</t>
  </si>
  <si>
    <t>1&amp;nbsp;million&amp;nbsp;CHF</t>
  </si>
  <si>
    <t>15&amp;nbsp;000&amp;nbsp;руб.</t>
  </si>
  <si>
    <t>100&amp;nbsp;000&amp;nbsp;руб.</t>
  </si>
  <si>
    <t>1,300万円</t>
  </si>
  <si>
    <t>1,200万円</t>
  </si>
  <si>
    <t>100万円</t>
  </si>
  <si>
    <t>15万円</t>
  </si>
  <si>
    <t>2,000万円</t>
  </si>
  <si>
    <t>4 مليار ريال</t>
  </si>
  <si>
    <t>£11 billion</t>
  </si>
  <si>
    <t>4兆円</t>
  </si>
  <si>
    <t>16 مليار ريال</t>
  </si>
  <si>
    <t>$514 billion</t>
  </si>
  <si>
    <t>CHF 14 Billionen</t>
  </si>
  <si>
    <t>14 milliards CHF</t>
  </si>
  <si>
    <t>LIC_revenue</t>
  </si>
  <si>
    <t>£1 billion</t>
  </si>
  <si>
    <t>CHF 1 billion</t>
  </si>
  <si>
    <t>2,000億円</t>
  </si>
  <si>
    <t>$1 billion</t>
  </si>
  <si>
    <t>5 Millionen Euro</t>
  </si>
  <si>
    <t>5 milioni di euro</t>
  </si>
  <si>
    <t>1 Milliarde Euro</t>
  </si>
  <si>
    <t>1 miliardo di euro</t>
  </si>
  <si>
    <t>1.000 millones de dólares</t>
  </si>
  <si>
    <t>1 milliard CHF</t>
  </si>
  <si>
    <t>1 milliard d'euros</t>
  </si>
  <si>
    <t>1 Million CHF</t>
  </si>
  <si>
    <t>5 Millionen CHF</t>
  </si>
  <si>
    <t>1 million CHF</t>
  </si>
  <si>
    <t>5 millions CHF</t>
  </si>
  <si>
    <t>100 миллионов рублей</t>
  </si>
  <si>
    <t>Einkommen nach globaler Umverteilung</t>
  </si>
  <si>
    <t>Grad der Umverteilung:</t>
  </si>
  <si>
    <t>Swiss GDP</t>
  </si>
  <si>
    <t>Swiss people</t>
  </si>
  <si>
    <t>Swiss</t>
  </si>
  <si>
    <t>Nicht-Teilnehmer</t>
  </si>
  <si>
    <t>Deutsche</t>
  </si>
  <si>
    <t>die Europäische Union</t>
  </si>
  <si>
    <t>Immaginiamo che tutti gli altri Paesi ad alto reddito (come Stati Uniti, Giappone, Germania, Francia, Regno Unito...) adottino questa politica e che alcuni Paesi a medio reddito (come la Cina) non la adottino.</t>
  </si>
  <si>
    <t>Americani</t>
  </si>
  <si>
    <t>elezioni del Parlamento europeo del 2024</t>
  </si>
  <si>
    <t>l'Unione Europea</t>
  </si>
  <si>
    <t>Italiani</t>
  </si>
  <si>
    <t>Italiano</t>
  </si>
  <si>
    <t>Non partecipante</t>
  </si>
  <si>
    <t>PIL italiano</t>
  </si>
  <si>
    <t>Grado di ridistribuzione:</t>
  </si>
  <si>
    <t>Reddito corrente</t>
  </si>
  <si>
    <t>Dochód bieżący</t>
  </si>
  <si>
    <t>Dochód po globalnej redystrybucji</t>
  </si>
  <si>
    <t>Stopień redystrybucji:</t>
  </si>
  <si>
    <t>W Polsce</t>
  </si>
  <si>
    <t>Polski PKB</t>
  </si>
  <si>
    <t>Nieuczestniczący</t>
  </si>
  <si>
    <t>Polacy</t>
  </si>
  <si>
    <t>Español</t>
  </si>
  <si>
    <t>No participante</t>
  </si>
  <si>
    <t>Grado de redistribución:</t>
  </si>
  <si>
    <t>Compartir quién pierde:</t>
  </si>
  <si>
    <t>Comparte quién se beneficia:</t>
  </si>
  <si>
    <t>Renta (después de impuestos y transferencias) de las personas adultas, de las más pobres a las más ricas</t>
  </si>
  <si>
    <t>Ingresos corrientes</t>
  </si>
  <si>
    <t>世界再分配後の所得</t>
  </si>
  <si>
    <t>再配分の程度：</t>
  </si>
  <si>
    <t>日本のGDP</t>
  </si>
  <si>
    <t>日本人</t>
  </si>
  <si>
    <t>アメリカ人</t>
  </si>
  <si>
    <t>この政策を採用する国（EU、ブラジル、韓国など）と採用しない国（米国、中国など）があるとしよう。</t>
  </si>
  <si>
    <t>Американцы</t>
  </si>
  <si>
    <t>Выборы президента России 2024 года</t>
  </si>
  <si>
    <t>(Поскольку в некоторых пунктах упоминаются «развитые страны», обратите внимание, что в данном вопросе мы не считаем Российскую Федерацию развитой страной).</t>
  </si>
  <si>
    <t>(Обратите внимание, что в данном вопросе мы не считаем Российскую Федерацию развитой страной).</t>
  </si>
  <si>
    <t>Не участник</t>
  </si>
  <si>
    <t>ВВП России</t>
  </si>
  <si>
    <t>Степень перераспределения:</t>
  </si>
  <si>
    <t>Доход (после уплаты налогов и трансфертов) взрослых людей, от самых бедных до самых богатых</t>
  </si>
  <si>
    <t>Доход после глобального перераспределения</t>
  </si>
  <si>
    <t>Текущие доходы</t>
  </si>
  <si>
    <t>CHF/year</t>
  </si>
  <si>
    <t>الدخل الحالي</t>
  </si>
  <si>
    <t>الدخل بعد إعادة التوزيع العالمي</t>
  </si>
  <si>
    <t>درجة إعادة التوزيع:</t>
  </si>
  <si>
    <t>الناتج المحلي الإجمالي السعودي</t>
  </si>
  <si>
    <t>(لاحظ أننا نعتبر المملكة العربية السعودية دولة متقدمة في هذا السؤال).</t>
  </si>
  <si>
    <t>(بما أن بعض البنود تشير إلى ”الدول المتقدمة“، لاحظ أننا نعتبر المملكة العربية السعودية دولة متقدمة في هذا السؤال).</t>
  </si>
  <si>
    <t>Immaginiamo che alcuni Paesi (come l'Unione Europea, il Regno Unito e il Brasile) adottino questa politica e altri (come gli Stati Uniti e la Cina) no.</t>
  </si>
  <si>
    <t>Imaginez que certains pays (comme l'Union européenne, le Royaume-Uni et le Brésil) adoptent cette politique et que d'autres (comme les États-Unis et la Chine) ne le fassent pas.</t>
  </si>
  <si>
    <t>Imaginez que tous les autres pays à revenu élevé (tels que les États-Unis, l'Union européenne, le Japon...) adoptent cette politique et que certains pays à revenu moyen (tels que la Chine) ne le fassent pas.</t>
  </si>
  <si>
    <t>Schweizer</t>
  </si>
  <si>
    <t>Schweizer BIP</t>
  </si>
  <si>
    <t>PIL svizzero</t>
  </si>
  <si>
    <t>PIB suisse</t>
  </si>
  <si>
    <t>los Estados Unidos</t>
  </si>
  <si>
    <t>las elecciones presidenciales de 2024</t>
  </si>
  <si>
    <t>Europeos</t>
  </si>
  <si>
    <t>€/mois</t>
  </si>
  <si>
    <t>€/Monat</t>
  </si>
  <si>
    <t>€/mese</t>
  </si>
  <si>
    <t>€/mes</t>
  </si>
  <si>
    <t>руб./месяц</t>
  </si>
  <si>
    <t>CHF/an</t>
  </si>
  <si>
    <t>CHF/Jahr</t>
  </si>
  <si>
    <t>CHF/anno</t>
  </si>
  <si>
    <t>$/año</t>
  </si>
  <si>
    <t>period</t>
  </si>
  <si>
    <t>Sample</t>
  </si>
  <si>
    <t>women</t>
  </si>
  <si>
    <t>men</t>
  </si>
  <si>
    <t>18-24</t>
  </si>
  <si>
    <t>25-34</t>
  </si>
  <si>
    <t>35-49</t>
  </si>
  <si>
    <t>50-64</t>
  </si>
  <si>
    <t>&gt;65</t>
  </si>
  <si>
    <t>Below upper secondary 25-64 0-2</t>
  </si>
  <si>
    <t>Upper secondary 25-64 3</t>
  </si>
  <si>
    <t>Above Upper secondary 25-64 4-8</t>
  </si>
  <si>
    <t>Cities</t>
  </si>
  <si>
    <t>Towns and suburbs</t>
  </si>
  <si>
    <t>Rural</t>
  </si>
  <si>
    <t>White non Hispanic</t>
  </si>
  <si>
    <t>Hispanic</t>
  </si>
  <si>
    <t>Black</t>
  </si>
  <si>
    <t>Other</t>
  </si>
  <si>
    <t>Below upper secondary 25-64</t>
  </si>
  <si>
    <t>Upper secondary 25-64</t>
  </si>
  <si>
    <t>Above Upper secondary 25-64</t>
  </si>
  <si>
    <t>Region 1</t>
  </si>
  <si>
    <t>Region 2</t>
  </si>
  <si>
    <t>Region 3</t>
  </si>
  <si>
    <t>Region 4</t>
  </si>
  <si>
    <t>Region 5</t>
  </si>
  <si>
    <t>Inactivity</t>
  </si>
  <si>
    <t>Unemployment</t>
  </si>
  <si>
    <t>Left</t>
  </si>
  <si>
    <t>Center-right or Right</t>
  </si>
  <si>
    <t>Far right</t>
  </si>
  <si>
    <t>Abstention</t>
  </si>
  <si>
    <t>Source</t>
  </si>
  <si>
    <t>Source alternative</t>
  </si>
  <si>
    <t>https://ec.europa.eu/eurostat/web/degree-of-urbanisation/statistics-illustrated</t>
  </si>
  <si>
    <t>https://www.destatis.de/DE/Themen/Laender-Regionen/Regionales/Gemeindeverzeichnis/Administrativ/Archiv/GVAuszugJ/31122019_Auszug_GV.html https://ec.europa.eu/eurostat/ramon/miscellaneous/index.cfm?TargetUrl=DSP_DEGURBA</t>
  </si>
  <si>
    <t>?</t>
  </si>
  <si>
    <t>https://www.doogal.co.uk/postcodedownloads.php https://www.ons.gov.uk/file?uri=/methodology/geography/geographicalproducts/ruralurbanclassifications/2011ruralurbanclassification/rucladleafletmay2015tcm77406355.pdf</t>
  </si>
  <si>
    <t>For the UK we don't use Eurostat because it has only 1.7 million zipcodes instead of 2.6, thus missing about half of population (mostly in Large urban). The definition of urban/rural is different from Eurostat and tends to classify zipcodes as more rural than Eurostat.</t>
  </si>
  <si>
    <t>https://gisco-services.ec.europa.eu/tercet/flat-files &gt; Various: https://gisco-services.ec.europa.eu/tercet/Various/PC_DGURBA_2018.zip</t>
  </si>
  <si>
    <t>https://www.ers.usda.gov/data-products/rural-urban-commuting-area-codes/</t>
  </si>
  <si>
    <t>education</t>
  </si>
  <si>
    <t>https://stats.oecd.org/Index.aspx?datasetcode=EAG_NEAC</t>
  </si>
  <si>
    <t>inactivity 15-64 2022Q3</t>
  </si>
  <si>
    <t>https://stats.oecd.org/index.aspx?queryid=35562#</t>
  </si>
  <si>
    <t>unemployment 15-64 2022-12</t>
  </si>
  <si>
    <t>Eu</t>
  </si>
  <si>
    <t>Keine abgeschlossene Schulbildung / Grundschule</t>
  </si>
  <si>
    <t>Untere Sekundarstufe (z.B. Haupt- oder Realschulabschluss)</t>
  </si>
  <si>
    <t>Gymnasiale Oberstufe abgebrochen</t>
  </si>
  <si>
    <t>Abitur</t>
  </si>
  <si>
    <t>Master-Abschluss oder höher</t>
  </si>
  <si>
    <t>Primary education or less</t>
  </si>
  <si>
    <t>Postgraduate diploma or certificate, Master's Degree (MSc, MA, MBA, etc.) or Ph.D.</t>
  </si>
  <si>
    <t>Bachelor's Degree (BA, BSc, BEng, etc.)</t>
  </si>
  <si>
    <t>Primary school or less</t>
  </si>
  <si>
    <t>Bachelor's degree (for example: BA, BS)</t>
  </si>
  <si>
    <t>Master’s degree or above (MA, MS, MEng, MEd, MSW, MBA, MD, DDS, DVM, LLB, JD, PhD)</t>
  </si>
  <si>
    <t>École primaire ou aucun</t>
  </si>
  <si>
    <t>Brevet</t>
  </si>
  <si>
    <t>CAP ou BEP</t>
  </si>
  <si>
    <t>Bac +2 (BTS, DUT, DEUG…)</t>
  </si>
  <si>
    <t>Bac +3 (licence…)</t>
  </si>
  <si>
    <t>Bac +5 ou plus (master, école d'ingénieur ou de commerce, doctorat, médecine, maîtrise, DEA, DESS...)</t>
  </si>
  <si>
    <t>Escuela primaria o menos</t>
  </si>
  <si>
    <t>Educación secundaria obligatoria (ESO)</t>
  </si>
  <si>
    <t>Formación profesional básica (FP)</t>
  </si>
  <si>
    <t>Formación profesional de grado medio</t>
  </si>
  <si>
    <t>Bachillerato</t>
  </si>
  <si>
    <t>Formación profesional de grado superior</t>
  </si>
  <si>
    <t>Grado universitario</t>
  </si>
  <si>
    <t>Máster o doctorado</t>
  </si>
  <si>
    <t>Licenza media</t>
  </si>
  <si>
    <t>高等学校卒業</t>
  </si>
  <si>
    <t>学士号</t>
  </si>
  <si>
    <t>Sekundarstufe I</t>
  </si>
  <si>
    <t>Istruzione primaria o Nessun titolo di studio</t>
  </si>
  <si>
    <t>Erstausbildung oder Beruflicher Abschluss</t>
  </si>
  <si>
    <t>Associate degree or 2-year college degree (for example: AA, AS)</t>
  </si>
  <si>
    <t>Laurea triennale o equivalente (AFAM…)</t>
  </si>
  <si>
    <t>Scuola superiore, senza diploma di maturità</t>
  </si>
  <si>
    <t>Diploma di maturità, esame di Stato</t>
  </si>
  <si>
    <t>Primarstufe oder weniger</t>
  </si>
  <si>
    <t>Sekundarstufe II ohne Abschluss</t>
  </si>
  <si>
    <t>Baccalauréat (général, technologique ou professionnel)</t>
  </si>
  <si>
    <t>Lycée sans diplôme</t>
  </si>
  <si>
    <t>Berufliche Grundbildung oder Berufsmaturität</t>
  </si>
  <si>
    <t>Gymnasiale Maturität oder Fachmaturität</t>
  </si>
  <si>
    <t>Weiterbildung</t>
  </si>
  <si>
    <t>初等教育以下</t>
  </si>
  <si>
    <t>Бакалавр</t>
  </si>
  <si>
    <t>Магистр или более</t>
  </si>
  <si>
    <t>Специалитет</t>
  </si>
  <si>
    <t>0.4</t>
  </si>
  <si>
    <t>0.5</t>
  </si>
  <si>
    <t>round_at</t>
  </si>
  <si>
    <t>separator</t>
  </si>
  <si>
    <t>&amp;nbsp;</t>
  </si>
  <si>
    <t>,</t>
  </si>
  <si>
    <t>mensuel</t>
  </si>
  <si>
    <t>monatliche</t>
  </si>
  <si>
    <t>mensile</t>
  </si>
  <si>
    <t>miesięczny</t>
  </si>
  <si>
    <t>mensual</t>
  </si>
  <si>
    <t>Jahrliche</t>
  </si>
  <si>
    <t>annuale</t>
  </si>
  <si>
    <t>anual</t>
  </si>
  <si>
    <t>年</t>
  </si>
  <si>
    <t>ежемесячный</t>
  </si>
  <si>
    <t>الشهري</t>
  </si>
  <si>
    <t>annuel</t>
  </si>
  <si>
    <t>net</t>
  </si>
  <si>
    <t>gross</t>
  </si>
  <si>
    <t>netto</t>
  </si>
  <si>
    <t>neto</t>
  </si>
  <si>
    <t>чистый</t>
  </si>
  <si>
    <t>brut</t>
  </si>
  <si>
    <t>lordo</t>
  </si>
  <si>
    <t>bruto</t>
  </si>
  <si>
    <t>総</t>
  </si>
  <si>
    <t>income_type</t>
  </si>
  <si>
    <t>income_type_long</t>
  </si>
  <si>
    <t>before taxes</t>
  </si>
  <si>
    <t>antes de impuestos</t>
  </si>
  <si>
    <t>prima delle imposte</t>
  </si>
  <si>
    <t>vor Steuern</t>
  </si>
  <si>
    <t>po opodatkowaniu i transferach</t>
  </si>
  <si>
    <t>avant impôts</t>
  </si>
  <si>
    <t>nach Steuern und Transfers</t>
  </si>
  <si>
    <t>dopo le imposte e i trasferimenti</t>
  </si>
  <si>
    <t>después de impuestos y transferencias</t>
  </si>
  <si>
    <t>после уплаты налогов и трансфертов</t>
  </si>
  <si>
    <t>税引前</t>
  </si>
  <si>
    <t>قبل الضرائب</t>
  </si>
  <si>
    <t>après impôts et transferts</t>
  </si>
  <si>
    <t>periodicity_text</t>
  </si>
  <si>
    <t>LCU per year</t>
  </si>
  <si>
    <t>PLN/miesiąc</t>
  </si>
  <si>
    <t>Dochód (po odliczeniu podatków i składek) dorosłych ludzi, od najbiedniejszych do najbogatszych</t>
  </si>
  <si>
    <t>Kto straci:</t>
  </si>
  <si>
    <t>median_redistr</t>
  </si>
  <si>
    <t>Le graphique ci-dessous présente une proposition de redistribution des revenus à l'échelle mondiale, de la répartition actuelle des revenus, en rouge, à une nouvelle répartition, en vert. Vous trouverez ci-dessous des exemples de l'évolution des revenus après impôts après la redistribution proposée : ... Seriez-vous favorable ou opposé à cette redistribution des revenus à l'échelle mondiale ?</t>
  </si>
  <si>
    <t>Poniższy wykres przedstawia propozycję redystrybucji dochodów na całym świecie, od obecnego podziału dochodów (na czerwono) do nowego (na zielono). Poniżej znajdują się przykłady tego, jak zmieniłyby się dochody po opodatkowaniu po proponowanej redystrybucji: ... Czy poparłbyś lub sprzeciwiłbyś się tej ogólnoświatowej redystrybucji dochodów?</t>
  </si>
  <si>
    <t>El siguiente gráfico presenta una propuesta de redistribución de la renta en todo el mundo, desde la actual distribución de la renta, en rojo, a una nueva, en verde. A continuación se muestran ejemplos de cómo cambiarían los ingresos después de impuestos tras la redistribución propuesta: ... ¿Apoyaría o se opondría a esta redistribución mundial de la renta?</t>
  </si>
  <si>
    <t>The graph below presents a proposal to redistribute incomes worldwide, from the current income distribution, in red, to a new one, in green. Below are examples of how after-tax incomes would change after the proposed redistribution: ... Would you support or oppose this worldwide income redistribution?</t>
  </si>
  <si>
    <t>500&amp;nbsp;PLN</t>
  </si>
  <si>
    <t>TRUE</t>
  </si>
  <si>
    <t>FALSE</t>
  </si>
  <si>
    <t>10&amp;nbsp;000&amp;nbsp;PLN</t>
  </si>
  <si>
    <t>35&amp;nbsp;000&amp;nbsp;PLN</t>
  </si>
  <si>
    <t>4 mld PLN</t>
  </si>
  <si>
    <t>20 mln PLN</t>
  </si>
  <si>
    <t>4 mln PLN</t>
  </si>
  <si>
    <t>Polak</t>
  </si>
  <si>
    <t>Unii Europejskiej</t>
  </si>
  <si>
    <t>(Proszę wziąć pod uwagę, że Polska jest klasyfikowana jako kraj rozwinięty)</t>
  </si>
  <si>
    <t>(Ponieważ niekt&amp;oacute;re pozycje odnoszą się do &amp;bdquo;kraj&amp;oacute;w rozwiniętych&amp;rdquo;, proszę wziąć pod uwagę, że Polska należy do kraj&amp;oacute;w rozwiniętych)</t>
  </si>
  <si>
    <t>wyborach do Parlamentu Europejskiego w 2024 r.</t>
  </si>
  <si>
    <t>Amerykanów</t>
  </si>
  <si>
    <t>Proszę sobie wyobrazić, że wszystkie inne kraje o wysokim dochodzie (takie jak Stany Zjednoczone, Japonia, Niemcy, Francja, Wielka Brytania...) przyjęły tę politykę, a niektóre kraje o średnich dochodach (takie jak Chiny) tego nie zrobiły.</t>
  </si>
  <si>
    <t>Proszę sobie wyobrazić, że niektóre kraje (takie jak Niemcy, Francja, Hiszpania, Wielka Brytania, Brazylia...) przyjęły tę politykę, a inne (takie jak Stany Zjednoczone i Chiny) tego nie zrobiły.</t>
  </si>
  <si>
    <t>2</t>
  </si>
  <si>
    <t>4</t>
  </si>
  <si>
    <t>11</t>
  </si>
  <si>
    <t>8</t>
  </si>
  <si>
    <t>1</t>
  </si>
  <si>
    <t>5</t>
  </si>
  <si>
    <t>3</t>
  </si>
  <si>
    <t>15&amp;nbsp;€</t>
  </si>
  <si>
    <t>£20</t>
  </si>
  <si>
    <t>3&amp;nbsp;000&amp;nbsp;руб.</t>
  </si>
  <si>
    <t>20&amp;nbsp;€</t>
  </si>
  <si>
    <t>CHF&amp;nbsp;20</t>
  </si>
  <si>
    <t>$35</t>
  </si>
  <si>
    <t>price_increase</t>
  </si>
  <si>
    <t>emissions_low_without</t>
  </si>
  <si>
    <t>Podstawowe lub brak</t>
  </si>
  <si>
    <t>Zasadnicze zawodowe</t>
  </si>
  <si>
    <t>Średnie zawodowe</t>
  </si>
  <si>
    <t>Średnie ogólne</t>
  </si>
  <si>
    <t>Policealne / pomaturalne</t>
  </si>
  <si>
    <t>Specjalistyczne / kolegium</t>
  </si>
  <si>
    <t>Wyższe licencjackie lub równorzędne</t>
  </si>
  <si>
    <t>Wyższe magisterskie lub więcej</t>
  </si>
  <si>
    <t>educ_1</t>
  </si>
  <si>
    <t>educ_2</t>
  </si>
  <si>
    <t>educ_3</t>
  </si>
  <si>
    <t>educ_4</t>
  </si>
  <si>
    <t>educ_5</t>
  </si>
  <si>
    <t>educ_6</t>
  </si>
  <si>
    <t>educ_7</t>
  </si>
  <si>
    <t>educ_8</t>
  </si>
  <si>
    <t>Niveau secondaire I</t>
  </si>
  <si>
    <t>Secondaire II sans diplôme</t>
  </si>
  <si>
    <t>Formation professionnelle initiale ou maturité professionnelle</t>
  </si>
  <si>
    <t>Maturité gymnasiale ou maturité spécialisée</t>
  </si>
  <si>
    <t>Formation continue</t>
  </si>
  <si>
    <t>Master ou plus</t>
  </si>
  <si>
    <t>Formazione professionale di base o diploma di maturità professionale</t>
  </si>
  <si>
    <t>Primary level or less</t>
  </si>
  <si>
    <t>Lower secondary level</t>
  </si>
  <si>
    <t>Secondary level II without qualification</t>
  </si>
  <si>
    <t>Basic vocational training or vocational baccalaureate</t>
  </si>
  <si>
    <t>Gymnasium baccalaureate or specialized baccalaureate</t>
  </si>
  <si>
    <t>Further education</t>
  </si>
  <si>
    <t>Master's degree or more</t>
  </si>
  <si>
    <t>Primaria o menos</t>
  </si>
  <si>
    <t>Octavo grado</t>
  </si>
  <si>
    <t>Algunos estudios secundarios</t>
  </si>
  <si>
    <t>Bachillerato ordinario/GED o credencial alternativa</t>
  </si>
  <si>
    <t>Formación profesional o estudios universitarios sin titulación</t>
  </si>
  <si>
    <t>Diplomatura o licenciatura universitaria de dos años (por ejemplo: AA, AS)</t>
  </si>
  <si>
    <t>Licenciatura (por ejemplo: BA, BS)</t>
  </si>
  <si>
    <t>Máster o superior (MA, MS, MEng, MEd, MSW, MBA, MD, DDS, DVM, LLB, JD, PhD)</t>
  </si>
  <si>
    <t>Zysk netto\nna osobę dorosłą\nw wyniku realizacji z\nGlobalnego Programu\nKlimatycznego\nw 2030 r.\n(w % PKB)</t>
  </si>
  <si>
    <t>unit_before</t>
  </si>
  <si>
    <t>unit_after</t>
  </si>
  <si>
    <t xml:space="preserve"> </t>
  </si>
  <si>
    <t xml:space="preserve">&amp;nbsp;€ </t>
  </si>
  <si>
    <t xml:space="preserve">&amp;nbsp;CHF </t>
  </si>
  <si>
    <t xml:space="preserve">&amp;nbsp;PLN </t>
  </si>
  <si>
    <t xml:space="preserve">万円 </t>
  </si>
  <si>
    <t xml:space="preserve">&amp;nbsp;руб. </t>
  </si>
  <si>
    <t xml:space="preserve"> ريال</t>
  </si>
  <si>
    <t>sample_size</t>
  </si>
  <si>
    <t>1&amp;nbsp;000</t>
  </si>
  <si>
    <t>1,000</t>
  </si>
  <si>
    <t>3,000</t>
  </si>
  <si>
    <t>amount_expenses</t>
  </si>
  <si>
    <t>CHF&amp;nbsp;35</t>
  </si>
  <si>
    <t>belief_loss</t>
  </si>
  <si>
    <t>$30</t>
  </si>
  <si>
    <t>&amp;nbsp;par mois</t>
  </si>
  <si>
    <t>&amp;nbsp;pro Monat</t>
  </si>
  <si>
    <t>&amp;nbsp;al mese</t>
  </si>
  <si>
    <t>&amp;nbsp;miesięcznie</t>
  </si>
  <si>
    <t>&amp;nbsp;al mes</t>
  </si>
  <si>
    <t>&amp;nbsp;per month</t>
  </si>
  <si>
    <t>&amp;nbsp;в месяц</t>
  </si>
  <si>
    <t>&amp;nbsp;في الشهر</t>
  </si>
  <si>
    <t>&amp;nbsp;per year</t>
  </si>
  <si>
    <t>national</t>
  </si>
  <si>
    <t>italiano</t>
  </si>
  <si>
    <t>Swiss person</t>
  </si>
  <si>
    <t>Suisse</t>
  </si>
  <si>
    <t>estadounidense</t>
  </si>
  <si>
    <t>lcu_400</t>
  </si>
  <si>
    <t>400&amp;nbsp;CHF</t>
  </si>
  <si>
    <t>$400</t>
  </si>
  <si>
    <t>lcu_250</t>
  </si>
  <si>
    <t>250&amp;nbsp;€</t>
  </si>
  <si>
    <t>250&amp;nbsp;CHF</t>
  </si>
  <si>
    <t>4万円</t>
  </si>
  <si>
    <t>$250</t>
  </si>
  <si>
    <t>name_gcs</t>
  </si>
  <si>
    <t>Globalny Program Klimatyczny</t>
  </si>
  <si>
    <t>Global Climate Scheme</t>
  </si>
  <si>
    <t>participating</t>
  </si>
  <si>
    <t>Pays participant</t>
  </si>
  <si>
    <t>Kraj uczestniczący</t>
  </si>
  <si>
    <t>Participating country</t>
  </si>
  <si>
    <t>potential_party</t>
  </si>
  <si>
    <t>Pays participant potentiel</t>
  </si>
  <si>
    <t>Potencjalny kraj uczestniczący</t>
  </si>
  <si>
    <t>Potential participating country</t>
  </si>
  <si>
    <t>tree</t>
  </si>
  <si>
    <t>chaque euro donné</t>
  </si>
  <si>
    <t>jeder gespendete Euro</t>
  </si>
  <si>
    <t>ogni euro donato</t>
  </si>
  <si>
    <t>every pound donated</t>
  </si>
  <si>
    <t>every Swiss Frank donated</t>
  </si>
  <si>
    <t>150円の寄付につき</t>
  </si>
  <si>
    <t>каждые 100 рублей пожертвований</t>
  </si>
  <si>
    <t>كل 4 ريالات يتم التبرع بها</t>
  </si>
  <si>
    <t>every dollar donated</t>
  </si>
  <si>
    <t>chaque Franc suisse donné</t>
  </si>
  <si>
    <t>currency</t>
  </si>
  <si>
    <t>euro</t>
  </si>
  <si>
    <t>pound</t>
  </si>
  <si>
    <t>Swiss Frank</t>
  </si>
  <si>
    <t>円</t>
  </si>
  <si>
    <t>рубль</t>
  </si>
  <si>
    <t>dollar</t>
  </si>
  <si>
    <t>Franc suisse</t>
  </si>
  <si>
    <t>period_custom</t>
  </si>
  <si>
    <t>Outdated Cities</t>
  </si>
  <si>
    <t>Outdated Towns and suburbs</t>
  </si>
  <si>
    <t>Outdated Rural</t>
  </si>
  <si>
    <t>Pour quel candidat avez-vous vot&amp;eacute; aux &lt;span id="election"&gt;&amp;eacute;lections europ&amp;eacute;ennes de 2024&lt;/span&gt;</t>
  </si>
  <si>
    <t>Which candidate did you vote for in the &lt;span id="election"&gt;[election: 2024 European Parliament election]&lt;/span&gt;?</t>
  </si>
  <si>
    <t>ES-ES</t>
  </si>
  <si>
    <t>Japonię, Wielką Brytanię</t>
  </si>
  <si>
    <t>każde otrzymane 4 PLN</t>
  </si>
  <si>
    <t>300&amp;nbsp;€</t>
  </si>
  <si>
    <t>200&amp;nbsp;€</t>
  </si>
  <si>
    <t>3万円</t>
  </si>
  <si>
    <t>13&amp;nbsp;000&amp;nbsp;руб.</t>
  </si>
  <si>
    <t>5&amp;nbsp;500&amp;nbsp;€</t>
  </si>
  <si>
    <t>4&amp;nbsp;000&amp;nbsp;€</t>
  </si>
  <si>
    <t>8&amp;nbsp;000&amp;nbsp;€</t>
  </si>
  <si>
    <t>13&amp;nbsp;000&amp;nbsp;PLN</t>
  </si>
  <si>
    <t>20&amp;nbsp;000&amp;nbsp;PLN</t>
  </si>
  <si>
    <t>17&amp;nbsp;500&amp;nbsp;PLN</t>
  </si>
  <si>
    <t>150&amp;nbsp;000&amp;nbsp;PLN</t>
  </si>
  <si>
    <t>3&amp;nbsp;500&amp;nbsp;€</t>
  </si>
  <si>
    <t>10&amp;nbsp;000&amp;nbsp;€</t>
  </si>
  <si>
    <t>£60,000</t>
  </si>
  <si>
    <t>£70,000</t>
  </si>
  <si>
    <t>£50,000</t>
  </si>
  <si>
    <t>£160,000</t>
  </si>
  <si>
    <t>95,000&amp;nbsp;CHF</t>
  </si>
  <si>
    <t>80,000&amp;nbsp;CHF</t>
  </si>
  <si>
    <t>160,000&amp;nbsp;CHF</t>
  </si>
  <si>
    <t>130,000&amp;nbsp;CHF</t>
  </si>
  <si>
    <t>250,000&amp;nbsp;CHF</t>
  </si>
  <si>
    <t>125,000&amp;nbsp;CHF</t>
  </si>
  <si>
    <t>£700,000</t>
  </si>
  <si>
    <t>50&amp;nbsp;000&amp;nbsp;€</t>
  </si>
  <si>
    <t>200&amp;nbsp;000&amp;nbsp;руб.</t>
  </si>
  <si>
    <t>300&amp;nbsp;000&amp;nbsp;руб.</t>
  </si>
  <si>
    <t>150&amp;nbsp;000&amp;nbsp;руб.</t>
  </si>
  <si>
    <t>400&amp;nbsp;000&amp;nbsp;руб.</t>
  </si>
  <si>
    <t>250&amp;nbsp;000&amp;nbsp;руб.</t>
  </si>
  <si>
    <t>2&amp;nbsp;500&amp;nbsp;000&amp;nbsp;руб.</t>
  </si>
  <si>
    <t>500&amp;nbsp;000&amp;nbsp;руб.</t>
  </si>
  <si>
    <t>14&amp;nbsp;000&amp;nbsp;PLN</t>
  </si>
  <si>
    <t>1&amp;nbsp;000&amp;nbsp;PLN</t>
  </si>
  <si>
    <t>150&amp;nbsp;PLN</t>
  </si>
  <si>
    <t>21&amp;nbsp;000&amp;nbsp;PLN</t>
  </si>
  <si>
    <t>800万円</t>
  </si>
  <si>
    <t>900万円</t>
  </si>
  <si>
    <t>750万円</t>
  </si>
  <si>
    <t>1,500万円</t>
  </si>
  <si>
    <t>1,000万円</t>
  </si>
  <si>
    <t>10,000万円</t>
  </si>
  <si>
    <t>万円／年</t>
  </si>
  <si>
    <t>Income (after taxes and transfers) of adult individuals, from the poorest to the richest</t>
  </si>
  <si>
    <t>text_title_x</t>
  </si>
  <si>
    <t>Humains, du plus pauvre au plus riche</t>
  </si>
  <si>
    <t>Esseri umani, dai più poveri ai più ricchi</t>
  </si>
  <si>
    <t>Ludzi, od najbiedniejszych do najbogatszych</t>
  </si>
  <si>
    <t>Seres humanos, del más pobre al más rico</t>
  </si>
  <si>
    <t>Humans, from poorest to richest</t>
  </si>
  <si>
    <t>Люди, от самых бедных до самых богатых.</t>
  </si>
  <si>
    <t>text_title_y</t>
  </si>
  <si>
    <t>Revenu (€/mois, après impôts et transferts)</t>
  </si>
  <si>
    <t>Reddito (€/mese, al netto di tasse e trasferimenti)</t>
  </si>
  <si>
    <t>Dochód (PLN/miesiąc, po odliczeniu podatków i składek)</t>
  </si>
  <si>
    <t>Income (£/year, after taxes and transfers)</t>
  </si>
  <si>
    <t>Income (CHF/year, after taxes and transfers)</t>
  </si>
  <si>
    <t>所得（万円／年, 税引き後および移転後）</t>
  </si>
  <si>
    <t>Доход (руб./месяц, после уплаты налогов и трансфертов)</t>
  </si>
  <si>
    <t>Income ($/year, after taxes and transfers)</t>
  </si>
  <si>
    <t>Revenu (CHF/an, après impôts et transferts)</t>
  </si>
  <si>
    <t>Reddito (CHF/anno, al netto di tasse e trasferimenti)</t>
  </si>
  <si>
    <t>Renta ($/año, después de impuestos y transferencias)</t>
  </si>
  <si>
    <t>Proportion of winners:</t>
  </si>
  <si>
    <t>Proportion of losers:</t>
  </si>
  <si>
    <t>The graph below presents a proposal to redistribute incomes worldwide, from the current income distribution in red, to a new proposed one in green. Below are examples of how after-tax incomes would change after the proposed redistribution: ... Would you support or oppose this worldwide income redistribution?</t>
  </si>
  <si>
    <t>après impôts et prestations sociales</t>
  </si>
  <si>
    <t>nach Steuern und Sozialhilfe</t>
  </si>
  <si>
    <t>po odliczeniu podatk&amp;oacute;w i składek</t>
  </si>
  <si>
    <t>después de impuestos y prestaciones sociales</t>
  </si>
  <si>
    <t>British person</t>
  </si>
  <si>
    <t>In the United Kingdom</t>
  </si>
  <si>
    <t>In the United States</t>
  </si>
  <si>
    <t>0,2</t>
  </si>
  <si>
    <t>Non-Participant</t>
  </si>
  <si>
    <t>Suisses</t>
  </si>
  <si>
    <t>2024 United Kingdom general election</t>
  </si>
  <si>
    <t>Imagine that some countries (such as Brazil and those in the European Union) adopt this policy and others (such as the United States and China) do not.</t>
  </si>
  <si>
    <t>Eighth grade</t>
  </si>
  <si>
    <t>General Certificate of Secondary Education (GCSE)</t>
  </si>
  <si>
    <t>High school degree (A levels)</t>
  </si>
  <si>
    <t>Regular high school diploma/GED or an alternative credential</t>
  </si>
  <si>
    <t>Vocational training or some college education without degree</t>
  </si>
  <si>
    <t>Higher vocational education (Level 4+ Award, level 4+ Certificate, level 4+ Diploma, Higher Apprenticeship, etc.)</t>
  </si>
  <si>
    <t>złot&amp;oacute;wkę</t>
  </si>
  <si>
    <t>12</t>
  </si>
  <si>
    <t>1,6</t>
  </si>
  <si>
    <t>text_vote_didnt_vote</t>
  </si>
  <si>
    <t>M&amp;ecirc;me si vous n&amp;#39;avez pas vot&amp;eacute; aux &lt;span id="election"&gt;&amp;eacute;lections du Parlement europ&amp;eacute;en de 2024&lt;/span&gt;, veuillez indiquer le candidat pour lequel vous &amp;eacute;tiez le plus susceptible d&amp;#39;avoir vot&amp;eacute; ou qui repr&amp;eacute;sente plus fid&amp;egrave;lement vos opinions.</t>
  </si>
  <si>
    <t>Aunque no haya votado en las &lt;span id="election"&gt;[election: 2024 European Parliament election]&lt;/span&gt;, indique el candidato al que hubiera votado con más probabilidad o que represente mejor sus opiniones.</t>
  </si>
  <si>
    <t>Even if you did not vote in the &lt;span id="election"&gt;[election: 2024 European Parliament election]&lt;/span&gt;, please indicate the candidate that you were most likely to have voted for or who represents your views more closely.</t>
  </si>
  <si>
    <t>M&amp;ecirc;me si vous n&amp;#39;avez pas vot&amp;eacute; aux &lt;span id="election"&gt;&amp;eacute;lections du Parlement europ&amp;eacute;en de 2024&lt;/span&gt; , veuillez indiquer le candidat pour lequel vous &amp;eacute;tiez le plus susceptible d&amp;#39;avoir vot&amp;eacute; ou qui repr&amp;eacute;sente plus fid&amp;egrave;lement vos opinions.</t>
  </si>
  <si>
    <t>sum_name</t>
  </si>
  <si>
    <t>Total</t>
  </si>
  <si>
    <t>Gesamt</t>
  </si>
  <si>
    <t>Totale</t>
  </si>
  <si>
    <t>Suma</t>
  </si>
  <si>
    <t>合計</t>
  </si>
  <si>
    <t>Итого</t>
  </si>
  <si>
    <t>المجموع</t>
  </si>
  <si>
    <t>Kto skorzysta:</t>
  </si>
  <si>
    <t>Some secondary education</t>
  </si>
  <si>
    <t>Vocational upper secondary (Level 3 Award, level 3 Certificate, level 3 Diploma, Advanced Apprenticeship, etc.)</t>
  </si>
  <si>
    <t>ريال سعودي/شهر</t>
  </si>
  <si>
    <t>الدخل (بعد خصم الضرائب والتحويلات) للبالغين من البشر، من الأفقر إلى الأغنى</t>
  </si>
  <si>
    <t>الأشخاص، من الأفقر إلى الأغنى</t>
  </si>
  <si>
    <t>الدخل ( ريال/شهر، بعد خصم الضرائب والتحويلات)</t>
  </si>
  <si>
    <t>نسبة المستفيدين:</t>
  </si>
  <si>
    <t>نسبة المتضررين:</t>
  </si>
  <si>
    <t>يعرض الرسم البياني أدناه مقترحًا لإعادة توزيع الدخل في كافة أنحاء العالم، من توزيع الدخل الحالي، باللون الأحمر، إلى توزيع جديد باللون الأخضر. فيما يلي أمثلة على كيفية تغير الدخل بعد خصم الضرائب بعد إعادة التوزيع المقترحة: ... هل تؤيد أو تعارض إعادة توزيع الدخل في كافة أنحاء العالم؟</t>
  </si>
  <si>
    <t>الإجمالي</t>
  </si>
  <si>
    <t>قبل خصم الضرائب</t>
  </si>
  <si>
    <t>المواطن السعودي</t>
  </si>
  <si>
    <t>130 ريال سعودي</t>
  </si>
  <si>
    <t>500 ريال سعودي</t>
  </si>
  <si>
    <t>الاتحاد الأوروبي واليابان والمملكة المتحدة</t>
  </si>
  <si>
    <t>&amp;nbsp;شهريًا</t>
  </si>
  <si>
    <t>800 ريال سعودي</t>
  </si>
  <si>
    <t>150 ريال سعودي</t>
  </si>
  <si>
    <t>1,000 ريال سعودي</t>
  </si>
  <si>
    <t>8,000 ريال سعودي</t>
  </si>
  <si>
    <t>10,000 ريال سعودي</t>
  </si>
  <si>
    <t>11,000 ريال سعودي</t>
  </si>
  <si>
    <t>12,000 ريال سعودي</t>
  </si>
  <si>
    <t>15,000 ريال سعودي</t>
  </si>
  <si>
    <t>16,000 ريال سعودي</t>
  </si>
  <si>
    <t>24,000 ريال سعودي</t>
  </si>
  <si>
    <t>130,000 ريال سعودي</t>
  </si>
  <si>
    <t>20 مليون ريال</t>
  </si>
  <si>
    <t>4 مليون ريال</t>
  </si>
  <si>
    <t>سعودي</t>
  </si>
  <si>
    <t>سعوديون</t>
  </si>
  <si>
    <t>تعليم ابتدائي أو أقل</t>
  </si>
  <si>
    <t>درجة بكالوريوس أو ما يُعادلها</t>
  </si>
  <si>
    <t>درجة ماجستير أو أعلى</t>
  </si>
  <si>
    <t>مخطط المناخ العالمي</t>
  </si>
  <si>
    <t>دولة مشاركة</t>
  </si>
  <si>
    <t>دولة محتمل مشاركتها</t>
  </si>
  <si>
    <t>ريـال سعودي</t>
  </si>
  <si>
    <t>na</t>
  </si>
  <si>
    <t>Aktuelles Einkommen</t>
  </si>
  <si>
    <t>Menschen, vom Ärmsten bis zum Reichsten</t>
  </si>
  <si>
    <t>Anteil der Begünstigten:</t>
  </si>
  <si>
    <t>Anteil der Benachteiligten:</t>
  </si>
  <si>
    <t>1 Million Euro</t>
  </si>
  <si>
    <t>Deutschen</t>
  </si>
  <si>
    <t>Stellen Sie sich vor, dass alle anderen Länder mit hohem Einkommen (wie die Vereinigten Staaten, die Europäische Union, Japan, usw.) diese Maßnahme einführen, während einige Länder mit mittlerem Einkommen (wie China) dies nicht tun.</t>
  </si>
  <si>
    <t>Stellen Sie sich vor, dass einige Länder (wie Frankreich, Spanien, das Vereinigte Königreich, Brasilien...) diese Maßnahme einführen, während andere (wie die Vereinigten Staaten und China) dies nicht tun.</t>
  </si>
  <si>
    <t>Euro</t>
  </si>
  <si>
    <t>Einkommen (nach Steuern und Transfers/Sozialleistungen/Umverteilung) erwachsener Personen, vom Ärmsten bis zum Reichsten</t>
  </si>
  <si>
    <t>Einkommen (€/Monat, nach Steuern und Sozialleistungen)</t>
  </si>
  <si>
    <t>Die folgende Grafik zeigt einen Vorschlag zur weltweiten Umverteilung aller Einkünfte – von der aktuellen Einkommensverteilung (rot) zu einer neuen Verteilung (grün). Unten sehen Sie Beispiele dafür, wie sich die Nettoeinkünfte nach der von Ihnen vorgeschlagenen Umverteilung verändern würden: ... Würden Sie diese weltweite Einkommensumverteilung unterstützen oder ablehnen?</t>
  </si>
  <si>
    <t>Reddito a seguito della redistribuzione globale</t>
  </si>
  <si>
    <t>Reddito (al netto di tasse e trasferimenti) degli individui adulti, dai più poveri ai più ricchi</t>
  </si>
  <si>
    <t>Il seguente grafico presenta una proposta di ridistribuzione del reddito a livello mondiale, dall'attuale distribuzione del reddito, in rosso, a una nuova distribuzione, in verde. Di seguito sono riportati alcuni esempi di come cambierebbero i redditi al netto delle imposte dopo la redistribuzione proposta: ... Sareste favorevoli o contrari a questa redistribuzione del reddito a livello mondiale?</t>
  </si>
  <si>
    <t>al netto delle imposte e del Welfare</t>
  </si>
  <si>
    <t>Immaginiamo che alcuni Paesi (come Germania, Francia, Spagna, Regno Unito, Brasile...) adottino questa politica e altri (come Stati Uniti e Cina) no.</t>
  </si>
  <si>
    <t>Laurea magistrale o livello di istruzione superiore</t>
  </si>
  <si>
    <t>Programma Globale per il Clima</t>
  </si>
  <si>
    <t>Svizzero</t>
  </si>
  <si>
    <t>Svizzeri</t>
  </si>
  <si>
    <t>svizzero</t>
  </si>
  <si>
    <t>Immaginiamo che tutti gli altri Paesi ad alto reddito (come gli Stati Uniti, l'Unione Europea, il Giappone...) adottino questa politica e che alcuni Paesi a medio reddito (come la Cina) non la adottino.</t>
  </si>
  <si>
    <t>ogni franco svizzero donato</t>
  </si>
  <si>
    <t>franco svizzero</t>
  </si>
  <si>
    <t>Ingresos después de la redistribución global</t>
  </si>
  <si>
    <t>年間</t>
  </si>
  <si>
    <t>Jährliche</t>
  </si>
  <si>
    <t>6.000 millones de Euros</t>
  </si>
  <si>
    <t>1.000 millones de Euros</t>
  </si>
  <si>
    <t>CHF 1 Billion</t>
  </si>
  <si>
    <t>5 millones de Euros</t>
  </si>
  <si>
    <t>1 milione di euro</t>
  </si>
  <si>
    <t>1 millón de Euros</t>
  </si>
  <si>
    <t>Stellen Sie sich vor, dass einige Länder (wie die Europäische Union, das Vereinigte Königreich und Brasilien) diese Massnahme einführen, während andere (wie die Vereinigten Staaten und China) dies nicht tun.</t>
  </si>
  <si>
    <t>2,000</t>
  </si>
  <si>
    <t>cada Euro donado</t>
  </si>
  <si>
    <t>jeder gespendete Schweizer Franken</t>
  </si>
  <si>
    <t>Schweizer Franken</t>
  </si>
  <si>
    <t>Por qué candidato votó en las &lt;span id="election"&gt;[election: 2024 European Parliament election]&lt;/span&gt;?</t>
  </si>
  <si>
    <t>Aunque no haya votado en las &lt;span id="election"&gt;[election: 2024 European Parliament election]&lt;/span&gt;, indique el candidato por el que hubiera votado con más probabilidad o que represente mejor sus opiniones.</t>
  </si>
  <si>
    <t>Einkommen (CHF/Jahr, nach Steuern und Sozialleistungen)</t>
  </si>
  <si>
    <t>Stellen Sie sich vor, dass alle anderen Länder mit hohem Einkommen (wie die Vereinigten Staaten, Japan, Frankreich, Italien, das Vereinigte Königreich usw.) diese Maßnahme einführen, während einige Länder mit mittlerem Einkommen (wie China) dies nicht tun.</t>
  </si>
  <si>
    <t>country_adjective2</t>
  </si>
  <si>
    <t>schweizer</t>
  </si>
  <si>
    <t>&amp;nbsp;par an</t>
  </si>
  <si>
    <t>&amp;nbsp;pro Jahr</t>
  </si>
  <si>
    <t>&amp;nbsp;all'anno</t>
  </si>
  <si>
    <t>&amp;nbsp;al año</t>
  </si>
  <si>
    <t>Il seguente grafico presenta una proposta di ridistribuzione del reddito a livello mondiale, dall'attuale distribuzione del reddito, in rosso, a una nuova distribuzione, in verde. Di seguito sono riportati alcuni esempi di come cambierebbero i redditi al netto delle imposte dopo la redistribuzione proposta: ... Sareste favorevoli o contrari a questa redistribuzione del reddito a livello globale?</t>
  </si>
  <si>
    <t>annuo</t>
  </si>
  <si>
    <t>$1 millón</t>
  </si>
  <si>
    <t>$5 millones</t>
  </si>
  <si>
    <t>Livello primario o inferiore</t>
  </si>
  <si>
    <t>Livello secondario I</t>
  </si>
  <si>
    <t>Livello secondario II senza qualifica</t>
  </si>
  <si>
    <t>Diploma di maturità liceale o di maturità specializzata</t>
  </si>
  <si>
    <t>Formazione continua</t>
  </si>
  <si>
    <t>Глобальная климатическая схема</t>
  </si>
  <si>
    <t>Страна-участница</t>
  </si>
  <si>
    <t>País participante</t>
  </si>
  <si>
    <t>Потенциальная страна-участница</t>
  </si>
  <si>
    <t>País participante potencial</t>
  </si>
  <si>
    <t>cada dólar donado</t>
  </si>
  <si>
    <t>¿Por cuál candidato votó en las &lt;span id="election"&gt;[election: 2024 European Parliament election]&lt;/span&gt;?</t>
  </si>
  <si>
    <t>Bachelor ou équivalent (Certificat fédéral de capacité, examen professionnel, examen de maîtrise, brevet fédéral, diplôme fédéral)</t>
  </si>
  <si>
    <t>Bachelor oder gleichwertig (Eidgenössische Fähigkeitszeugnis, Berufsprüfung, Höhere Fachprüfung, eidg. Fauchausweis, eidg. Diplom)</t>
  </si>
  <si>
    <t>Laurea triennale o equivalente (attestato federale di capacità, esame professionale, esame di maestria, attestato professionale federale, diploma federale)</t>
  </si>
  <si>
    <t>PIB español</t>
  </si>
  <si>
    <t>la Svizzera</t>
  </si>
  <si>
    <t>Bundestagswahl 2025</t>
  </si>
  <si>
    <t>الأمريكيين</t>
  </si>
  <si>
    <t>Bachelor's degree or equivalent (Advanced Federal Professional Examination, professional examination, federal certificate)</t>
  </si>
  <si>
    <t>Teilnehmendes Land</t>
  </si>
  <si>
    <t>Potentiell teilnehmendes Land</t>
  </si>
  <si>
    <t>Dólar</t>
  </si>
  <si>
    <t>Für welche Partei haben Sie bei der &lt;span id="election"&gt;[Wahl: Europawahl 2024]&lt;/span&gt; gestimmt?</t>
  </si>
  <si>
    <t>10000</t>
  </si>
  <si>
    <t>1000</t>
  </si>
  <si>
    <t>3000</t>
  </si>
  <si>
    <t>150</t>
  </si>
  <si>
    <t>30000</t>
  </si>
  <si>
    <t>12000</t>
  </si>
  <si>
    <t>50000</t>
  </si>
  <si>
    <t>600</t>
  </si>
  <si>
    <t>60000</t>
  </si>
  <si>
    <t>40000</t>
  </si>
  <si>
    <t>5000</t>
  </si>
  <si>
    <t>20000</t>
  </si>
  <si>
    <t>70000</t>
  </si>
  <si>
    <t>100000</t>
  </si>
  <si>
    <t>1500</t>
  </si>
  <si>
    <t>300000</t>
  </si>
  <si>
    <t>200</t>
  </si>
  <si>
    <t>250</t>
  </si>
  <si>
    <t>2500</t>
  </si>
  <si>
    <t>50</t>
  </si>
  <si>
    <t>25000</t>
  </si>
  <si>
    <t>33</t>
  </si>
  <si>
    <t>34</t>
  </si>
  <si>
    <t>36</t>
  </si>
  <si>
    <t>38</t>
  </si>
  <si>
    <t>35</t>
  </si>
  <si>
    <t>48</t>
  </si>
  <si>
    <t>25</t>
  </si>
  <si>
    <t>64</t>
  </si>
  <si>
    <t>57</t>
  </si>
  <si>
    <t>56</t>
  </si>
  <si>
    <t>59</t>
  </si>
  <si>
    <t>60</t>
  </si>
  <si>
    <t>58</t>
  </si>
  <si>
    <t>71</t>
  </si>
  <si>
    <t>72</t>
  </si>
  <si>
    <t>69</t>
  </si>
  <si>
    <t>77</t>
  </si>
  <si>
    <t>74</t>
  </si>
  <si>
    <t>87</t>
  </si>
  <si>
    <t>128</t>
  </si>
  <si>
    <t>154</t>
  </si>
  <si>
    <t>155</t>
  </si>
  <si>
    <t>118</t>
  </si>
  <si>
    <t>145</t>
  </si>
  <si>
    <t>10</t>
  </si>
  <si>
    <t>18</t>
  </si>
  <si>
    <t>16</t>
  </si>
  <si>
    <t>500</t>
  </si>
  <si>
    <t>Renta (€/mes, después de impuestos y transferencias</t>
  </si>
  <si>
    <t>35&amp;nbsp;€</t>
  </si>
  <si>
    <t>&amp;nbsp;月額</t>
  </si>
  <si>
    <t>españoles</t>
  </si>
  <si>
    <t>la Unión Europea</t>
  </si>
  <si>
    <t>elecciones al Parlamento Europeo de 2024</t>
  </si>
  <si>
    <t>estadounidenses</t>
  </si>
  <si>
    <t>Imagine que todos los demás países de renta alta (como Estados Unidos, Japón, Alemania, Francia, Reino Unido...) adoptan esta política y algunos países de renta media (como China) no lo hacen.</t>
  </si>
  <si>
    <t>Imagine que todos los demás países de renta alta (como la Unión Europea, Japón, Canadá...) adoptan esta política y algunos países de renta media (como China) no.</t>
  </si>
  <si>
    <t>Imagine que algunos países (como Alemania, Francia, el Reino Unido, Brasil...) adoptan esta política y otros (como Estados Unidos y China) no lo hacen.</t>
  </si>
  <si>
    <t>Imagine que algunos países (como la Unión Europea, el Reino Unido y Brasil) adoptan esta política y otros (como Japón, Canadá y China) no.</t>
  </si>
  <si>
    <t>Plan Climático Global</t>
  </si>
  <si>
    <t>Pour quel liste avez-vous vot&amp;eacute; aux &lt;span id="election"&gt;&amp;eacute;lections europ&amp;eacute;ennes de 2024&lt;/span&gt; ?</t>
  </si>
  <si>
    <t>£70</t>
  </si>
  <si>
    <t>330 ريال سعودي</t>
  </si>
  <si>
    <t>15&amp;nbsp;CHF</t>
  </si>
  <si>
    <t>$90</t>
  </si>
  <si>
    <t>380 ريال سعودي</t>
  </si>
  <si>
    <t>£35</t>
  </si>
  <si>
    <t>$120</t>
  </si>
  <si>
    <t>EN-CH</t>
  </si>
  <si>
    <t>Percentuale dei vincitori:</t>
  </si>
  <si>
    <t>Percentuale dei perdenti:</t>
  </si>
  <si>
    <t>20&amp;nbsp;CHF</t>
  </si>
  <si>
    <t>45&amp;nbsp;€</t>
  </si>
  <si>
    <t>65&amp;nbsp;€</t>
  </si>
  <si>
    <t>35&amp;nbsp;CHF</t>
  </si>
  <si>
    <t>100&amp;nbsp;franchi svizzeri</t>
  </si>
  <si>
    <t>400&amp;nbsp;franchi svizzeri</t>
  </si>
  <si>
    <t>250&amp;nbsp;franchi svizzeri</t>
  </si>
  <si>
    <t>14 miliardi di franchi svizzeri</t>
  </si>
  <si>
    <t>1 miliardo di franchi svizzeri</t>
  </si>
  <si>
    <t>5 milioni di franchi svizzeri</t>
  </si>
  <si>
    <t>1 milione di franchi svizzeri</t>
  </si>
  <si>
    <t>不参加国</t>
  </si>
  <si>
    <t>Polaków</t>
  </si>
  <si>
    <t>السعوديين</t>
  </si>
  <si>
    <t>地球規模の気候対策制度</t>
  </si>
  <si>
    <t>参加国</t>
  </si>
  <si>
    <t>参加の可能性がある国</t>
  </si>
  <si>
    <t>&lt;span id="election"&gt;[選挙：2024年欧州議会選挙]&lt;/span&gt;で投票しなかった場合でも、最も投票した可能性の高い政党、またはあなたの考えに近い政党をお答えください。</t>
  </si>
  <si>
    <t>Für welche Partei haben Sie bei der &lt;span id="election"&gt;[Wahl: Europawahl 2024]&lt;/span&gt; gestimmt (Zweitstimme)?</t>
  </si>
  <si>
    <t>Per quale partito hai votato alle &lt;span id="election"&gt;[election: elezioni del Parlamento europeo del 2024]&lt;/span&gt;?</t>
  </si>
  <si>
    <t>Na kt&amp;oacute;rą partię głosował(a) Pan/Pani w &lt;span id="election"&gt;wyborach do Parlamentu Europejskiego w 2024 r.&lt;/span&gt;?</t>
  </si>
  <si>
    <t>&lt;span id="election"&gt;[選挙：2024年欧州議会選挙]&lt;/span&gt;ではどの政党に投票しましたか？</t>
  </si>
  <si>
    <t>Per quale partito hai votato alle &lt;span id="election"&gt;[elezioni: elezioni del Parlamento europeo del 2024]&lt;/span&gt;?</t>
  </si>
  <si>
    <t>Auch wenn Sie nicht an den &lt;span id="election"&gt;[election: 2024 European Parliament election]&lt;/span&gt; teilgenommen haben, geben Sie bitte die Partei an, die Sie am ehesten gewählt hätten oder die Ihre Ansichten am ehesten vertritt.</t>
  </si>
  <si>
    <t>Anche se non hai votato alle &lt;span id="election"&gt;[elezioni: elezioni del Parlamento europeo del 2024]&lt;/span&gt;, ti preghiamo di indicare il partito per il quale avresti probabilmente votato o che rappresenta al meglio le tue opinioni.</t>
  </si>
  <si>
    <t>Nawet jeśli nie głosował(a) Pan/Pani w &lt;span id="election"&gt;wyborach do Parlamentu Europejskiego w 2024 r.&lt;/span&gt;, prosimy o wskazanie partii, na kt&amp;oacute;rą najprawdopodobniej oddał(a)by Pan/Pani głos, lub kt&amp;oacute;ra najlepiej odzwierciedla Pana/Pani poglądy.</t>
  </si>
  <si>
    <t>\n\nGanancia neta por adulto\nsegún el\nPlan Climático Global\nen 2030 (en % del PIB)</t>
  </si>
  <si>
    <t>to</t>
  </si>
  <si>
    <t>から</t>
  </si>
  <si>
    <t>1.5億円</t>
  </si>
  <si>
    <t>\n \nNettogewinn pro\nErwachsenem infolge des\nglobalen Klimaprogramms\nim Jahr 2030 (in % des BIP)</t>
  </si>
  <si>
    <t>\n\nЧистая прибыль\nна одного взрослого человека\nпосле реализации\nГлобальной климатической схемы\nв 2030 году (в % от ВВП)</t>
  </si>
  <si>
    <t>\n\nGain ou perte par adulte\nsuite au\nPlan mondial pour le climat\nen 2030 (en % du PIB)</t>
  </si>
  <si>
    <t>他のすべての高所得国（米国、EU、韓国など）がこの政策を採用し、一部の中所得国（中国など）が採用しないとします。</t>
  </si>
  <si>
    <t>成人1人あたりの\n経済的な純増減額。\n地球規模の\n気候対策制度に基づく、\n2030年時点の数値\n（GDPに対する％）</t>
  </si>
  <si>
    <t>كراشم ريغ</t>
  </si>
  <si>
    <t>\n\nGuadagno netto per adulto\na seguito del\nProgramma Globale per il Clima\nnel 2030 (in % del PIL)</t>
  </si>
  <si>
    <t>text_vote_voted</t>
  </si>
  <si>
    <t>al lordo delle imposte</t>
  </si>
  <si>
    <t>il Giappone, il Regno Unito</t>
  </si>
  <si>
    <t>&amp;nbsp;年額</t>
  </si>
  <si>
    <t>\n \nGain ou perte par adulte\nsuite au\nPlan mondial pour le climat\nen 2030 (en % du PIB)</t>
  </si>
  <si>
    <t>الناتج المحلي الإجمالي(n\)بالنسبة المئوية من n\في عام 0302n\بعد مخطط المناخ العالميn\لكل شخص بالغn\صافي المكاسب</t>
  </si>
  <si>
    <t>à</t>
  </si>
  <si>
    <t>bis</t>
  </si>
  <si>
    <t>do</t>
  </si>
  <si>
    <t>a</t>
  </si>
  <si>
    <t>ىلإ</t>
  </si>
  <si>
    <t>Certificato di Specializzazione Tecnica Superiore (IFTS)</t>
  </si>
  <si>
    <t>Diploma di Tecnico Superiore (ITS)</t>
  </si>
  <si>
    <t>80&amp;nbsp;€</t>
  </si>
  <si>
    <t>340 PLN</t>
  </si>
  <si>
    <t>75&amp;nbsp;CHF</t>
  </si>
  <si>
    <t>13,000円</t>
  </si>
  <si>
    <t>7&amp;nbsp;500&amp;nbsp;руб.</t>
  </si>
  <si>
    <t>45 milliards d'euros</t>
  </si>
  <si>
    <t>40 Milliarden Euro</t>
  </si>
  <si>
    <t>10 miliardi di euro</t>
  </si>
  <si>
    <t>5 mld PLN</t>
  </si>
  <si>
    <t>CHF 13 billion</t>
  </si>
  <si>
    <t>1800 миллиардов рублей</t>
  </si>
  <si>
    <t>90 миллиардов рублей</t>
  </si>
  <si>
    <t>750&amp;nbsp;PLN</t>
  </si>
  <si>
    <t>450&amp;nbsp;PLN</t>
  </si>
  <si>
    <t>£250</t>
  </si>
  <si>
    <t>£150</t>
  </si>
  <si>
    <t>6&amp;nbsp;500&amp;nbsp;руб.</t>
  </si>
  <si>
    <t>75&amp;nbsp;franchi svizzeri</t>
  </si>
  <si>
    <t>7,000円</t>
  </si>
  <si>
    <t>2&amp;nbsp;500&amp;nbsp;руб.</t>
  </si>
  <si>
    <t>85&amp;nbsp;PLN</t>
  </si>
  <si>
    <t>£15</t>
  </si>
  <si>
    <t>235&amp;nbsp;PLN</t>
  </si>
  <si>
    <t>10,000円</t>
  </si>
  <si>
    <t>3,000円</t>
  </si>
  <si>
    <t>5&amp;nbsp;500&amp;nbsp;руб.</t>
  </si>
  <si>
    <t>$125</t>
  </si>
  <si>
    <t>510 ريال سعودي</t>
  </si>
  <si>
    <t>400 миллионов рублей</t>
  </si>
  <si>
    <t>7億円</t>
  </si>
  <si>
    <t>5 million CHF</t>
  </si>
  <si>
    <t>£4 million</t>
  </si>
  <si>
    <t>欧州連合、英国</t>
  </si>
  <si>
    <t>再分配前の所得</t>
  </si>
  <si>
    <t>受益者のシェア：</t>
  </si>
  <si>
    <t>負担者のシェア：</t>
  </si>
  <si>
    <t>Paese partecipante</t>
  </si>
  <si>
    <t>Paese potenzialmente partecipante</t>
  </si>
  <si>
    <t>1.07991361</t>
  </si>
  <si>
    <t>0.25839793</t>
  </si>
  <si>
    <t>1.29366106</t>
  </si>
  <si>
    <t>1.11607143</t>
  </si>
  <si>
    <t>0.00671141</t>
  </si>
  <si>
    <t>0.0118624</t>
  </si>
  <si>
    <t>0.26666667</t>
  </si>
  <si>
    <t>EN-SA</t>
  </si>
  <si>
    <t>SAR&amp;nbsp;</t>
  </si>
  <si>
    <t>SAR/month</t>
  </si>
  <si>
    <t>Income (SAR/year, after taxes and transfers)</t>
  </si>
  <si>
    <t>Saudi</t>
  </si>
  <si>
    <t>SAR&amp;nbsp;130</t>
  </si>
  <si>
    <t>SAR&amp;nbsp;380</t>
  </si>
  <si>
    <t>SAR&amp;nbsp;510</t>
  </si>
  <si>
    <t>SAR&amp;nbsp;500</t>
  </si>
  <si>
    <t>SAR&amp;nbsp;800</t>
  </si>
  <si>
    <t>SAR&amp;nbsp;150</t>
  </si>
  <si>
    <t>SAR&amp;nbsp;1,000</t>
  </si>
  <si>
    <t>SAR&amp;nbsp;8,000</t>
  </si>
  <si>
    <t>SAR&amp;nbsp;10,000</t>
  </si>
  <si>
    <t>SAR&amp;nbsp;11,000</t>
  </si>
  <si>
    <t>SAR&amp;nbsp;12,000</t>
  </si>
  <si>
    <t>SAR&amp;nbsp;15,000</t>
  </si>
  <si>
    <t>SAR&amp;nbsp;16,000</t>
  </si>
  <si>
    <t>SAR&amp;nbsp;24,000</t>
  </si>
  <si>
    <t>SAR&amp;nbsp;130,000</t>
  </si>
  <si>
    <t>In Saudi Arabia</t>
  </si>
  <si>
    <t>Saudi Arabia's GDP</t>
  </si>
  <si>
    <t>SAR&amp;nbsp;16 billion</t>
  </si>
  <si>
    <t>SAR&amp;nbsp;20 million</t>
  </si>
  <si>
    <t>SAR&amp;nbsp;4 million</t>
  </si>
  <si>
    <t>Saudis</t>
  </si>
  <si>
    <t>(Note that we consider Saudi Arabia to be a developed country in this question.)</t>
  </si>
  <si>
    <t>(Since some items refer to "developed countries", note that we consider Saudi Arabia to be a developed country in this question.)</t>
  </si>
  <si>
    <t>SAR&amp;nbsp;330</t>
  </si>
  <si>
    <t>Bachelor's degree or equivalent</t>
  </si>
  <si>
    <t>Master's degree or higher</t>
  </si>
  <si>
    <t>Saudi riyal</t>
  </si>
  <si>
    <t>Zweitausbildung oder Fachhochschulreife</t>
  </si>
  <si>
    <t>Nettoeinkommen</t>
  </si>
  <si>
    <t>Bruttoeinkommen</t>
  </si>
  <si>
    <t>deutschen BIP</t>
  </si>
  <si>
    <t>globales Klimaprogramm</t>
  </si>
  <si>
    <t>stop</t>
  </si>
  <si>
    <t>Bachelor oder Fachschulabschluss</t>
  </si>
  <si>
    <t>514.000 millones de dólares</t>
  </si>
  <si>
    <t>deutsche</t>
  </si>
  <si>
    <t>US-Amerikaner</t>
  </si>
  <si>
    <t>español</t>
  </si>
  <si>
    <t>Les Français</t>
  </si>
  <si>
    <t>Los españoles</t>
  </si>
  <si>
    <t>svizzeri</t>
  </si>
  <si>
    <t>تعليم متوسط أو عدم إتمام الثانوية العامة</t>
  </si>
  <si>
    <t>حاصل على الثانوية العامة</t>
  </si>
  <si>
    <t>المعاهد الصناعية الثانوية (صناعية أو عمارة وتشييد)</t>
  </si>
  <si>
    <t>دبلوم متوسط (دراسة لمدة عام واحد بعد إتمام الثانوية العامة)</t>
  </si>
  <si>
    <t>دبلوم الكليات التقنية أو المهنية (دراسة لمدة عامين أو ثلاثة بعد إتمام الثانوية العامة)</t>
  </si>
  <si>
    <t>中等教育</t>
  </si>
  <si>
    <t>高等学校または専門学校（修了証書なし）</t>
  </si>
  <si>
    <t>専門学校卒業</t>
  </si>
  <si>
    <t>準学士号または短期大学卒業</t>
  </si>
  <si>
    <t>修士号以上</t>
  </si>
  <si>
    <t>Some high school (without diploma)</t>
  </si>
  <si>
    <t>Middle school or Some high school without diploma</t>
  </si>
  <si>
    <t>Vocational high school (such as industrial or buildings secondary education)</t>
  </si>
  <si>
    <t>Regular high school diploma</t>
  </si>
  <si>
    <t>Associate diploma (1 year training after high school)</t>
  </si>
  <si>
    <t>Technical or vocational college degree (2 or 3 years after high school)</t>
  </si>
  <si>
    <t>Inactivity 25-64</t>
  </si>
  <si>
    <t>Unemployment 25-64</t>
  </si>
  <si>
    <t>Employment 25-64</t>
  </si>
  <si>
    <t>Employment %</t>
  </si>
  <si>
    <t>DEGURBA</t>
  </si>
  <si>
    <t>The Degree of urbanisation (DEGURBA) is a classification that indicates the character of an area. Based on the share of local population living in urban clusters and in urban centres, it classifies Local Administrative Units level 2 (LAU2 or communes) into three types of area: Cities (densely populated areas) Towns and suburbs (intermediate density areas) Rural areas (thinly populated areas)</t>
  </si>
  <si>
    <t>Saudi Arabia : Pop Non Saudi by origin</t>
  </si>
  <si>
    <t>Total 2022</t>
  </si>
  <si>
    <t>13.382.962</t>
  </si>
  <si>
    <t>Asie : 55,5 % (47,3 % Asie du Sud : Bangladesh 15,8 %, Inde 14,1 %, Pakistan 13,6 % ////// Asie du Sud-Est 8,1 %)</t>
  </si>
  <si>
    <t>Afrique : 23,2 % (dont 17,9 % Afrique de l’Ouest, 3,6 % Afrique de l’Est)</t>
  </si>
  <si>
    <t>Moyen-Orient : 20,4 % (Yémen 13,5 %, Syrie 3 %, Jordanie 2 %, Palestine 1 %)</t>
  </si>
  <si>
    <t>成人の所得（税引き後および移転後）（最貧困層から最富裕層まで）</t>
  </si>
  <si>
    <t>貧困層から富裕層までの人々</t>
  </si>
  <si>
    <t>以下のグラフは、現在の所得分布（赤）から新しい所得分布（緑）へと、世界的に所得を再分配するという提案を示しています。以下には、提案された再分配後に税引後所得がどのように変化するかの例が示されています：あなたはこのような世界的な所得再分配に賛成ですか、それとも反対ですか？</t>
  </si>
  <si>
    <t>Proporción de ganadores:</t>
  </si>
  <si>
    <t>Proporción de perdedores:</t>
  </si>
  <si>
    <t>Proportion de gagnants:</t>
  </si>
  <si>
    <t>Proportion de perdants:</t>
  </si>
  <si>
    <t>Imagine that all other high-income countries (such as the the European Union, Japan, Canada...) adopt this policy and some middle-income countries (such as China) do not.</t>
  </si>
  <si>
    <t>Imagine that some countries (such as the European Union, the United Kingdom, and Brazil) adopt this policy and others (such as Japan, Canada and China) do not.</t>
  </si>
  <si>
    <t>SAR&amp;nbsp;4 billion</t>
  </si>
  <si>
    <t>تخيّل أن جميع الدول الأخرى ذات الدخل المرتفع (كالولايات المتحدة والاتحاد الأوروبي واليابان ...) تتبنى هذه السياسة، بينما ترفضها بعض الدول ذات الدخل المتوسط (كالصين).</t>
  </si>
  <si>
    <t>تخيّل أن بعض الدول (كالاتحاد الأوروبي والمملكة المتحدة والبرازيل) تتبنى هذه السياسة، بينما ترفضها دول أخرى (كالولايات المتحدة والصين).</t>
  </si>
  <si>
    <t>Доля победителей:</t>
  </si>
  <si>
    <t>Доля проигравших:</t>
  </si>
  <si>
    <t>На графике ниже представлено предложение о перераспределении доходов по всему миру - от текущего распределения доходов, выделенного красным цветом, до нового, предложенного зеленым. Ниже приведены примеры того, как изменится доход после уплаты налогов после предлагаемого перераспределения: ... Вы бы поддержали или выступили против такого перераспределения доходов по всему миру?</t>
  </si>
  <si>
    <t>валовой доход</t>
  </si>
  <si>
    <t>до уплаты налогов</t>
  </si>
  <si>
    <t>Россияне</t>
  </si>
  <si>
    <t>Европейский Союз, Япония</t>
  </si>
  <si>
    <t>&amp;nbsp;в год</t>
  </si>
  <si>
    <t>Россиянин</t>
  </si>
  <si>
    <t>Российская федерация</t>
  </si>
  <si>
    <t>Представьте, что все остальные страны с высоким уровнем дохода (такие как США, Япония, Германия, Франция, Италия...) принимают эту политику, а некоторые страны со средним уровнем дохода (такие как Китай) - нет.</t>
  </si>
  <si>
    <t>Представьте, что некоторые страны (например, Бразилия и страны Европейского союза) придерживаются этой политики, а другие (например, США и Китай) - нет.</t>
  </si>
  <si>
    <t>Adult pop</t>
  </si>
  <si>
    <t>Q1 Income</t>
  </si>
  <si>
    <t>Q2 Income</t>
  </si>
  <si>
    <t>Q3 Income</t>
  </si>
  <si>
    <t>Q4 Income</t>
  </si>
  <si>
    <t>Share Eu/EU</t>
  </si>
  <si>
    <t>WoSaudi</t>
  </si>
  <si>
    <t>WoNonSaudi</t>
  </si>
  <si>
    <t>ManSaudi</t>
  </si>
  <si>
    <t>ManNonSaudi</t>
  </si>
  <si>
    <t>2024年 衆議院議員総選挙（比例代表）</t>
  </si>
  <si>
    <t>party</t>
  </si>
  <si>
    <t>major</t>
  </si>
  <si>
    <t>leaning</t>
  </si>
  <si>
    <t>group</t>
  </si>
  <si>
    <t>share</t>
  </si>
  <si>
    <t>PPE</t>
  </si>
  <si>
    <t>S&amp;D</t>
  </si>
  <si>
    <t>PfE</t>
  </si>
  <si>
    <t>ECR</t>
  </si>
  <si>
    <t>Renew</t>
  </si>
  <si>
    <t>Greens</t>
  </si>
  <si>
    <t>ESN</t>
  </si>
  <si>
    <t>NI</t>
  </si>
  <si>
    <t>Rassemblement National</t>
  </si>
  <si>
    <t>Renaissance, MoDem &amp; Horizons</t>
  </si>
  <si>
    <t>La France insoumise</t>
  </si>
  <si>
    <t>Les Républicains</t>
  </si>
  <si>
    <t>Les Écologistes – EÉLV</t>
  </si>
  <si>
    <t>Reconquête</t>
  </si>
  <si>
    <t>Parti Communiste Français</t>
  </si>
  <si>
    <t>Résistons (Jean Lassalle)</t>
  </si>
  <si>
    <t>Parti animaliste</t>
  </si>
  <si>
    <t>CDU/CSU</t>
  </si>
  <si>
    <t>AfD</t>
  </si>
  <si>
    <t>SPD</t>
  </si>
  <si>
    <t>Grüne</t>
  </si>
  <si>
    <t>Die Linke</t>
  </si>
  <si>
    <t>BSW</t>
  </si>
  <si>
    <t>FDP</t>
  </si>
  <si>
    <t>FW</t>
  </si>
  <si>
    <t>Tierschutzpartei</t>
  </si>
  <si>
    <t>Volt</t>
  </si>
  <si>
    <t>Die Partei</t>
  </si>
  <si>
    <t>FdI</t>
  </si>
  <si>
    <t>PD</t>
  </si>
  <si>
    <t>M5S</t>
  </si>
  <si>
    <t>FI – NM</t>
  </si>
  <si>
    <t>League</t>
  </si>
  <si>
    <t>AVS</t>
  </si>
  <si>
    <t>SUE</t>
  </si>
  <si>
    <t>Azione</t>
  </si>
  <si>
    <t>PTD</t>
  </si>
  <si>
    <t>Libertà</t>
  </si>
  <si>
    <t>Civic Coalition (Civic Platform, Polish Initiative...)</t>
  </si>
  <si>
    <t>United Right (Law and Justice, Sovereign Poland...)</t>
  </si>
  <si>
    <t>Confederation (New Hope, National Movement, Confederation of the Polish Crown...)</t>
  </si>
  <si>
    <t>PP</t>
  </si>
  <si>
    <t>PSOE</t>
  </si>
  <si>
    <t>Vox</t>
  </si>
  <si>
    <t>Ahora Repúblicas</t>
  </si>
  <si>
    <t>Sumar</t>
  </si>
  <si>
    <t>SALF</t>
  </si>
  <si>
    <t>Podemos</t>
  </si>
  <si>
    <t>Junts UE</t>
  </si>
  <si>
    <t>CEUS</t>
  </si>
  <si>
    <t>Labour</t>
  </si>
  <si>
    <t>Conservative</t>
  </si>
  <si>
    <t>Reform UK</t>
  </si>
  <si>
    <t>Liberal Democrats</t>
  </si>
  <si>
    <t>Green</t>
  </si>
  <si>
    <t>SNP</t>
  </si>
  <si>
    <t>Sinn Féin</t>
  </si>
  <si>
    <t>Plaid Cymru</t>
  </si>
  <si>
    <t>DUP</t>
  </si>
  <si>
    <t>Alliance Party of Northern Ireland</t>
  </si>
  <si>
    <t>Swiss People's Party</t>
  </si>
  <si>
    <t>Social Democratic Party</t>
  </si>
  <si>
    <t>The Liberals</t>
  </si>
  <si>
    <t>The Centre</t>
  </si>
  <si>
    <t>Green Party</t>
  </si>
  <si>
    <t>Green Liberal Party</t>
  </si>
  <si>
    <t>Evangelical People's Party</t>
  </si>
  <si>
    <t>Federal Democratic Union</t>
  </si>
  <si>
    <t>LDP</t>
  </si>
  <si>
    <t>CDP</t>
  </si>
  <si>
    <t>Ishin JIP</t>
  </si>
  <si>
    <t>DPFP</t>
  </si>
  <si>
    <t>Komeito</t>
  </si>
  <si>
    <t>Reiwa Shinsengumi</t>
  </si>
  <si>
    <t>JCP</t>
  </si>
  <si>
    <t>Sanseitō</t>
  </si>
  <si>
    <t>CPJ</t>
  </si>
  <si>
    <t>SDP</t>
  </si>
  <si>
    <t>Harris</t>
  </si>
  <si>
    <t>Trump</t>
  </si>
  <si>
    <t>source</t>
  </si>
  <si>
    <t>comments</t>
  </si>
  <si>
    <t>Major : 1 = candidate received more than 5% of the votes; 0 = candidate received 5% or less (or empty)</t>
  </si>
  <si>
    <t>https://results.elections.europa.eu/fr/apercu-des-resultats-nationaux/</t>
  </si>
  <si>
    <t>Leaning: 0 = Left; 1 = Center-right or Right; 2 = Far right</t>
  </si>
  <si>
    <t>Besoin d'Europe</t>
  </si>
  <si>
    <t>Réveiller l'Europe</t>
  </si>
  <si>
    <t>La France fière</t>
  </si>
  <si>
    <t>Gauche Unie</t>
  </si>
  <si>
    <t>Alliance rurale</t>
  </si>
  <si>
    <t>Other ; L'Europe ça suffit ; UPR (Union Populaire Républicaine); NPA (Nouveau Parti Anticapitaliste)</t>
  </si>
  <si>
    <t>First round : Voters 82.5%; Valid 81.8%</t>
  </si>
  <si>
    <t>https://www.bundeswahlleiterin.de/en/bundestagswahlen/2025/ergebnisse/bund-99.html</t>
  </si>
  <si>
    <t>0.7% - invalid</t>
  </si>
  <si>
    <t>Trzecia Droga : Polskie Stronnictwo Ludowe (Polskie Stronnictwo Ludowe, Polska2050, Unia Europejskich Demokratów, Wolnościowcy)</t>
  </si>
  <si>
    <t>Lewica</t>
  </si>
  <si>
    <t>https://researchbriefings.files.parliament.uk/documents/CBP-10009/CBP-10009.pdfCBP-10009.pdf</t>
  </si>
  <si>
    <t>https://www.elections.admin.ch/fr/ch/</t>
  </si>
  <si>
    <t>https://en.wikipedia.org/wiki/House_of_Representatives_(Japan)</t>
  </si>
  <si>
    <t>Mixed electoral system : 289 seats by majoritarian vote (one candidate per district); 176 seats by proportional representation (party lists). Each voter casts two votes: one for a candidate, one for a party.</t>
  </si>
  <si>
    <t>https://www.reuters.com/graphics/USA-ELECTION/RESULTS/zjpqnemxwvx/</t>
  </si>
  <si>
    <t>63.5 Turnout as VEP (Voting Eligible Population)</t>
  </si>
  <si>
    <t>https://www.presidency.ucsb.edu/statistics/data/voter-turnout-in-presidential-elections</t>
  </si>
  <si>
    <t>Left_among_voters</t>
  </si>
  <si>
    <t>Center-right or Right_among_voters</t>
  </si>
  <si>
    <t>Far right_among_voters</t>
  </si>
  <si>
    <t>Vote_other</t>
  </si>
  <si>
    <t>The Left (New Left...)</t>
  </si>
  <si>
    <t>Poland 2050</t>
  </si>
  <si>
    <t>Polish People's Party</t>
  </si>
  <si>
    <t>Без образования или начальное общее образование (1–4 классы)</t>
  </si>
  <si>
    <t>Основное общее образование (5–9 классы)</t>
  </si>
  <si>
    <t>Среднее общее образование (неполное; 10–11 классы без получения ЕГЭ))</t>
  </si>
  <si>
    <t>Среднее общее образование (полное; 10–11 классы с ЕГЭ)</t>
  </si>
  <si>
    <t>Среднее профессиональное образование (колледж, техникум, училище))</t>
  </si>
  <si>
    <t>All</t>
  </si>
  <si>
    <t>Imagine that some countries (e.g., Brazil and European Union countries) adopt this policy and others (e.g., the United States and China) do not.</t>
  </si>
  <si>
    <t>Imagine that all other high-income countries (such as the US, Japan, Germany, France, Italy...) adopt this policy and some middle-income countries (such as China) do not.</t>
  </si>
  <si>
    <t>1 Cities</t>
  </si>
  <si>
    <t>2 Towns and suburbs</t>
  </si>
  <si>
    <t>3 Rural areas</t>
  </si>
  <si>
    <t>Grand pôle</t>
  </si>
  <si>
    <t>Couronne GP</t>
  </si>
  <si>
    <t>Autre</t>
  </si>
  <si>
    <t>Town and Suburbs</t>
  </si>
  <si>
    <t>Cities with rights status</t>
  </si>
  <si>
    <t>Gminas without cities with powiat statu</t>
  </si>
  <si>
    <r>
      <rPr>
        <u/>
        <sz val="10"/>
        <color rgb="FF1155CC"/>
        <rFont val="Arial"/>
        <family val="2"/>
      </rPr>
      <t>Statistics Poland - Local Data Bank</t>
    </r>
  </si>
  <si>
    <t>Town &gt;20k</t>
  </si>
  <si>
    <t>Town &lt;20k</t>
  </si>
  <si>
    <t>Large urban</t>
  </si>
  <si>
    <t>City or town</t>
  </si>
  <si>
    <t>Rural and other</t>
  </si>
  <si>
    <t>If the Municipality type is a "shi" or "ku"</t>
  </si>
  <si>
    <t>If the municipality type is a "cho", "machi", "mura", or "son"</t>
  </si>
  <si>
    <t>"Clarifying criteria have been established for granting the status of a municipal district: the territory of a municipal district includes one or more cities and/or other urban settlements that are not municipal entities, where at least two-thirds of the population of the municipal district resides. Additionally, the territory of the municipal district may also include areas of rural settlements that are not municipal entities, as well as areas designated for the development of social, transport, and other infrastructure for the municipal district, the area of which cannot exceed twice the size of the territories of the cities and/or other urban settlements included in the municipal district. The population density within the territory of the municipal district must be at least five times greater than the average population density in the Russian Federation."</t>
  </si>
  <si>
    <t>Cities &gt; 5K</t>
  </si>
  <si>
    <r>
      <rPr>
        <u/>
        <sz val="10"/>
        <color rgb="FF1155CC"/>
        <rFont val="Arial"/>
        <family val="2"/>
      </rPr>
      <t>Glossary of Statistical Terms Details</t>
    </r>
  </si>
  <si>
    <t>Parti Socialiste &amp; Place publique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</si>
</sst>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23" x14ac:knownFonts="1">
    <font>
      <sz val="11"/>
      <color theme="1"/>
      <name val="Calibri"/>
      <family val="2"/>
      <scheme val="minor"/>
    </font>
    <font>
      <b/>
      <sz val="11"/>
      <color theme="1"/>
      <name val="Calibri"/>
      <family val="2"/>
      <scheme val="minor"/>
    </font>
    <font>
      <i/>
      <sz val="11"/>
      <color theme="1"/>
      <name val="Calibri"/>
      <family val="2"/>
      <scheme val="minor"/>
    </font>
    <font>
      <sz val="10"/>
      <color theme="1"/>
      <name val="Arial"/>
      <family val="2"/>
    </font>
    <font>
      <sz val="11"/>
      <color theme="1"/>
      <name val="Calibri"/>
      <family val="2"/>
    </font>
    <font>
      <sz val="11"/>
      <color indexed="8"/>
      <name val="Calibri"/>
      <family val="2"/>
      <scheme val="minor"/>
    </font>
    <font>
      <sz val="11"/>
      <color rgb="FF181A1B"/>
      <name val="Calibri"/>
      <family val="2"/>
      <scheme val="minor"/>
    </font>
    <font>
      <sz val="10"/>
      <color rgb="FF000000"/>
      <name val="Calibri"/>
      <family val="2"/>
      <scheme val="minor"/>
    </font>
    <font>
      <b/>
      <sz val="11"/>
      <color rgb="FF181A1B"/>
      <name val="Calibri"/>
      <family val="2"/>
    </font>
    <font>
      <sz val="11"/>
      <color theme="1"/>
      <name val="Calibri"/>
      <family val="2"/>
    </font>
    <font>
      <i/>
      <sz val="11"/>
      <color theme="1"/>
      <name val="Calibri"/>
      <family val="2"/>
    </font>
    <font>
      <b/>
      <sz val="11"/>
      <color theme="1"/>
      <name val="Calibri"/>
      <family val="2"/>
    </font>
    <font>
      <sz val="11"/>
      <color rgb="FF181A1B"/>
      <name val="Calibri"/>
      <family val="2"/>
    </font>
    <font>
      <sz val="11"/>
      <color rgb="FF000000"/>
      <name val="Calibri"/>
      <family val="2"/>
    </font>
    <font>
      <i/>
      <sz val="11"/>
      <color rgb="FF000000"/>
      <name val="Calibri"/>
      <family val="2"/>
    </font>
    <font>
      <sz val="10"/>
      <color theme="1"/>
      <name val="Arial"/>
      <family val="2"/>
    </font>
    <font>
      <i/>
      <sz val="11"/>
      <color rgb="FF181A1B"/>
      <name val="Calibri"/>
      <family val="2"/>
    </font>
    <font>
      <sz val="10"/>
      <color rgb="FF333333"/>
      <name val="Arial"/>
      <family val="2"/>
    </font>
    <font>
      <u/>
      <sz val="10"/>
      <color rgb="FF0000FF"/>
      <name val="Arial"/>
      <family val="2"/>
    </font>
    <font>
      <u/>
      <sz val="10"/>
      <color rgb="FF1155CC"/>
      <name val="Arial"/>
      <family val="2"/>
    </font>
    <font>
      <sz val="11"/>
      <color rgb="FFFF0000"/>
      <name val="Calibri"/>
      <family val="2"/>
    </font>
    <font>
      <sz val="10"/>
      <color rgb="FF181A1B"/>
      <name val="Calibri"/>
      <family val="2"/>
      <scheme val="minor"/>
    </font>
    <font>
      <sz val="10"/>
      <color theme="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theme="0"/>
        <bgColor theme="0"/>
      </patternFill>
    </fill>
    <fill>
      <patternFill patternType="solid">
        <fgColor rgb="FFEAD1DC"/>
        <bgColor rgb="FFEAD1DC"/>
      </patternFill>
    </fill>
  </fills>
  <borders count="1">
    <border>
      <left/>
      <right/>
      <top/>
      <bottom/>
      <diagonal/>
    </border>
  </borders>
  <cellStyleXfs count="1">
    <xf numFmtId="0" fontId="0" fillId="0" borderId="0"/>
  </cellStyleXfs>
  <cellXfs count="73">
    <xf numFmtId="0" fontId="0" fillId="0" borderId="0" xfId="0"/>
    <xf numFmtId="0" fontId="1" fillId="0" borderId="0" xfId="0" applyFont="1"/>
    <xf numFmtId="0" fontId="0" fillId="0" borderId="0" xfId="0" applyFont="1"/>
    <xf numFmtId="1" fontId="0" fillId="0" borderId="0" xfId="0" applyNumberFormat="1"/>
    <xf numFmtId="1" fontId="0" fillId="0" borderId="0" xfId="0" applyNumberFormat="1" applyFont="1"/>
    <xf numFmtId="2" fontId="0" fillId="0" borderId="0" xfId="0" applyNumberFormat="1"/>
    <xf numFmtId="164" fontId="0" fillId="0" borderId="0" xfId="0" applyNumberFormat="1" applyFont="1"/>
    <xf numFmtId="0" fontId="1" fillId="0" borderId="0" xfId="0" applyFont="1" applyAlignment="1"/>
    <xf numFmtId="0" fontId="0" fillId="0" borderId="0" xfId="0" applyFont="1" applyAlignment="1"/>
    <xf numFmtId="1" fontId="0" fillId="0" borderId="0" xfId="0" applyNumberFormat="1" applyFont="1" applyAlignment="1"/>
    <xf numFmtId="49" fontId="0" fillId="0" borderId="0" xfId="0" applyNumberFormat="1"/>
    <xf numFmtId="0" fontId="1" fillId="0" borderId="0" xfId="0" applyFont="1" applyAlignment="1">
      <alignment wrapText="1"/>
    </xf>
    <xf numFmtId="0" fontId="0" fillId="0" borderId="0" xfId="0" applyBorder="1"/>
    <xf numFmtId="0" fontId="3" fillId="0" borderId="0" xfId="0" applyFont="1" applyBorder="1" applyAlignment="1">
      <alignment wrapText="1"/>
    </xf>
    <xf numFmtId="49" fontId="1" fillId="0" borderId="0" xfId="0" applyNumberFormat="1" applyFont="1"/>
    <xf numFmtId="0" fontId="0" fillId="0" borderId="0" xfId="0" applyAlignment="1"/>
    <xf numFmtId="49" fontId="0" fillId="0" borderId="0" xfId="0" applyNumberFormat="1" applyFont="1"/>
    <xf numFmtId="49" fontId="5" fillId="0" borderId="0" xfId="0" applyNumberFormat="1" applyFont="1"/>
    <xf numFmtId="49" fontId="0" fillId="0" borderId="0" xfId="0" applyNumberFormat="1" applyFont="1" applyAlignment="1"/>
    <xf numFmtId="49" fontId="0" fillId="0" borderId="0" xfId="0" applyNumberFormat="1" applyFont="1" applyBorder="1"/>
    <xf numFmtId="49" fontId="0" fillId="0" borderId="0" xfId="0" applyNumberFormat="1" applyBorder="1"/>
    <xf numFmtId="49" fontId="4" fillId="0" borderId="0" xfId="0" applyNumberFormat="1" applyFont="1" applyBorder="1" applyAlignment="1">
      <alignment wrapText="1"/>
    </xf>
    <xf numFmtId="49" fontId="4" fillId="0" borderId="0" xfId="0" applyNumberFormat="1" applyFont="1" applyBorder="1" applyAlignment="1">
      <alignment horizontal="right" wrapText="1"/>
    </xf>
    <xf numFmtId="49" fontId="2" fillId="0" borderId="0" xfId="0" applyNumberFormat="1" applyFont="1"/>
    <xf numFmtId="49" fontId="2" fillId="0" borderId="0" xfId="0" applyNumberFormat="1" applyFont="1" applyAlignment="1"/>
    <xf numFmtId="0" fontId="6" fillId="0" borderId="0" xfId="0" applyFont="1"/>
    <xf numFmtId="49" fontId="0" fillId="0" borderId="0" xfId="0" applyNumberFormat="1" applyAlignment="1"/>
    <xf numFmtId="0" fontId="8" fillId="0" borderId="0" xfId="0" applyFont="1" applyAlignment="1"/>
    <xf numFmtId="1" fontId="9" fillId="0" borderId="0" xfId="0" applyNumberFormat="1" applyFont="1" applyAlignment="1">
      <alignment horizontal="right"/>
    </xf>
    <xf numFmtId="1" fontId="9" fillId="0" borderId="0" xfId="0" applyNumberFormat="1" applyFont="1" applyAlignment="1"/>
    <xf numFmtId="0" fontId="8" fillId="0" borderId="0" xfId="0" applyFont="1" applyAlignment="1">
      <alignment horizontal="right"/>
    </xf>
    <xf numFmtId="1" fontId="10" fillId="0" borderId="0" xfId="0" applyNumberFormat="1" applyFont="1" applyAlignment="1">
      <alignment horizontal="right"/>
    </xf>
    <xf numFmtId="0" fontId="9" fillId="0" borderId="0" xfId="0" applyFont="1" applyAlignment="1"/>
    <xf numFmtId="0" fontId="11" fillId="0" borderId="0" xfId="0" applyFont="1" applyAlignment="1"/>
    <xf numFmtId="0" fontId="11" fillId="0" borderId="0" xfId="0" applyFont="1" applyAlignment="1">
      <alignment horizontal="right"/>
    </xf>
    <xf numFmtId="1" fontId="12" fillId="0" borderId="0" xfId="0" applyNumberFormat="1" applyFont="1" applyAlignment="1"/>
    <xf numFmtId="0" fontId="13" fillId="0" borderId="0" xfId="0" applyFont="1" applyAlignment="1">
      <alignment horizontal="right"/>
    </xf>
    <xf numFmtId="9" fontId="9" fillId="2" borderId="0" xfId="0" applyNumberFormat="1" applyFont="1" applyFill="1" applyAlignment="1">
      <alignment horizontal="right"/>
    </xf>
    <xf numFmtId="0" fontId="10" fillId="0" borderId="0" xfId="0" applyFont="1" applyAlignment="1">
      <alignment horizontal="right"/>
    </xf>
    <xf numFmtId="1" fontId="9" fillId="2" borderId="0" xfId="0" applyNumberFormat="1" applyFont="1" applyFill="1" applyAlignment="1">
      <alignment horizontal="right"/>
    </xf>
    <xf numFmtId="0" fontId="10" fillId="3" borderId="0" xfId="0" applyFont="1" applyFill="1" applyAlignment="1">
      <alignment horizontal="right"/>
    </xf>
    <xf numFmtId="0" fontId="13" fillId="0" borderId="0" xfId="0" applyFont="1" applyAlignment="1"/>
    <xf numFmtId="1" fontId="14" fillId="0" borderId="0" xfId="0" applyNumberFormat="1" applyFont="1" applyAlignment="1">
      <alignment horizontal="right"/>
    </xf>
    <xf numFmtId="0" fontId="14" fillId="0" borderId="0" xfId="0" applyFont="1" applyAlignment="1">
      <alignment horizontal="right"/>
    </xf>
    <xf numFmtId="1" fontId="15" fillId="0" borderId="0" xfId="0" applyNumberFormat="1" applyFont="1" applyAlignment="1">
      <alignment horizontal="right"/>
    </xf>
    <xf numFmtId="0" fontId="15" fillId="0" borderId="0" xfId="0" applyFont="1" applyAlignment="1">
      <alignment horizontal="right"/>
    </xf>
    <xf numFmtId="1" fontId="10" fillId="4" borderId="0" xfId="0" applyNumberFormat="1" applyFont="1" applyFill="1" applyAlignment="1">
      <alignment horizontal="right"/>
    </xf>
    <xf numFmtId="1" fontId="16" fillId="0" borderId="0" xfId="0" applyNumberFormat="1" applyFont="1" applyAlignment="1">
      <alignment horizontal="right"/>
    </xf>
    <xf numFmtId="0" fontId="13" fillId="2" borderId="0" xfId="0" applyFont="1" applyFill="1" applyAlignment="1"/>
    <xf numFmtId="0" fontId="9" fillId="2" borderId="0" xfId="0" applyFont="1" applyFill="1" applyAlignment="1"/>
    <xf numFmtId="0" fontId="9" fillId="0" borderId="0" xfId="0" applyFont="1" applyAlignment="1">
      <alignment horizontal="right"/>
    </xf>
    <xf numFmtId="0" fontId="17" fillId="2" borderId="0" xfId="0" applyFont="1" applyFill="1" applyAlignment="1"/>
    <xf numFmtId="0" fontId="18" fillId="0" borderId="0" xfId="0" applyFont="1" applyAlignment="1"/>
    <xf numFmtId="0" fontId="20" fillId="0" borderId="0" xfId="0" applyFont="1" applyAlignment="1"/>
    <xf numFmtId="0" fontId="12" fillId="0" borderId="0" xfId="0" applyFont="1" applyAlignment="1"/>
    <xf numFmtId="0" fontId="16" fillId="5" borderId="0" xfId="0" applyFont="1" applyFill="1" applyAlignment="1">
      <alignment horizontal="right"/>
    </xf>
    <xf numFmtId="0" fontId="10" fillId="5" borderId="0" xfId="0" applyFont="1" applyFill="1" applyAlignment="1">
      <alignment horizontal="right"/>
    </xf>
    <xf numFmtId="9" fontId="9" fillId="0" borderId="0" xfId="0" applyNumberFormat="1" applyFont="1" applyAlignment="1"/>
    <xf numFmtId="0" fontId="21" fillId="0" borderId="0" xfId="0" applyFont="1" applyAlignment="1"/>
    <xf numFmtId="1" fontId="9" fillId="0" borderId="0" xfId="0" applyNumberFormat="1" applyFont="1" applyAlignment="1">
      <alignment horizontal="left"/>
    </xf>
    <xf numFmtId="0" fontId="22" fillId="0" borderId="0" xfId="0" applyFont="1"/>
    <xf numFmtId="0" fontId="13" fillId="0" borderId="0" xfId="0" applyFont="1" applyAlignment="1">
      <alignment horizontal="center"/>
    </xf>
    <xf numFmtId="0" fontId="9" fillId="4" borderId="0" xfId="0" applyFont="1" applyFill="1" applyAlignment="1"/>
    <xf numFmtId="0" fontId="13" fillId="0" borderId="0" xfId="0" applyFont="1" applyAlignment="1">
      <alignment horizontal="left"/>
    </xf>
    <xf numFmtId="9" fontId="9" fillId="0" borderId="0" xfId="0" applyNumberFormat="1" applyFont="1" applyAlignment="1">
      <alignment horizontal="right"/>
    </xf>
    <xf numFmtId="0" fontId="9" fillId="2" borderId="0" xfId="0" applyFont="1" applyFill="1" applyAlignment="1">
      <alignment horizontal="right"/>
    </xf>
    <xf numFmtId="0" fontId="9" fillId="4" borderId="0" xfId="0" applyFont="1" applyFill="1" applyAlignment="1">
      <alignment horizontal="right"/>
    </xf>
    <xf numFmtId="1" fontId="15" fillId="0" borderId="0" xfId="0" applyNumberFormat="1" applyFont="1" applyAlignment="1"/>
    <xf numFmtId="1" fontId="15" fillId="0" borderId="0" xfId="0" applyNumberFormat="1" applyFont="1"/>
    <xf numFmtId="1" fontId="9" fillId="2" borderId="0" xfId="0" applyNumberFormat="1" applyFont="1" applyFill="1"/>
    <xf numFmtId="165" fontId="9" fillId="0" borderId="0" xfId="0" applyNumberFormat="1" applyFont="1" applyAlignment="1"/>
    <xf numFmtId="1" fontId="9" fillId="0" borderId="0" xfId="0" applyNumberFormat="1" applyFont="1"/>
    <xf numFmtId="0" fontId="12"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stats.gov.sa/en/term-details?id=2594494" TargetMode="External"/><Relationship Id="rId1" Type="http://schemas.openxmlformats.org/officeDocument/2006/relationships/hyperlink" Target="https://bdl.stat.gov.pl/bdl/metadane/teryt/miejscowosc"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5"/>
  <sheetViews>
    <sheetView tabSelected="1" workbookViewId="0">
      <selection activeCell="B16" sqref="B16"/>
    </sheetView>
  </sheetViews>
  <sheetFormatPr baseColWidth="10" defaultRowHeight="15" x14ac:dyDescent="0.25"/>
  <cols>
    <col min="2" max="2" width="19" customWidth="1"/>
  </cols>
  <sheetData>
    <row r="1" spans="1:8" x14ac:dyDescent="0.25">
      <c r="A1" t="s">
        <v>32</v>
      </c>
      <c r="B1" t="s">
        <v>1121</v>
      </c>
      <c r="C1" t="s">
        <v>1122</v>
      </c>
      <c r="D1" t="s">
        <v>1123</v>
      </c>
      <c r="E1" t="s">
        <v>1124</v>
      </c>
      <c r="F1" t="s">
        <v>1125</v>
      </c>
      <c r="G1" t="s">
        <v>1206</v>
      </c>
      <c r="H1" t="s">
        <v>1207</v>
      </c>
    </row>
    <row r="2" spans="1:8" x14ac:dyDescent="0.25">
      <c r="A2" t="s">
        <v>15</v>
      </c>
      <c r="B2" t="s">
        <v>366</v>
      </c>
      <c r="F2">
        <v>49.26</v>
      </c>
      <c r="H2" t="s">
        <v>1208</v>
      </c>
    </row>
    <row r="3" spans="1:8" x14ac:dyDescent="0.25">
      <c r="A3" t="s">
        <v>15</v>
      </c>
      <c r="B3" t="s">
        <v>1126</v>
      </c>
      <c r="C3">
        <v>1</v>
      </c>
      <c r="D3">
        <v>1</v>
      </c>
      <c r="E3" t="s">
        <v>1126</v>
      </c>
      <c r="F3">
        <v>26.11</v>
      </c>
      <c r="G3" t="s">
        <v>1209</v>
      </c>
      <c r="H3" t="s">
        <v>1210</v>
      </c>
    </row>
    <row r="4" spans="1:8" x14ac:dyDescent="0.25">
      <c r="A4" t="s">
        <v>15</v>
      </c>
      <c r="B4" t="s">
        <v>1127</v>
      </c>
      <c r="C4">
        <v>1</v>
      </c>
      <c r="D4">
        <v>0</v>
      </c>
      <c r="E4" t="s">
        <v>1127</v>
      </c>
      <c r="F4">
        <v>18.89</v>
      </c>
    </row>
    <row r="5" spans="1:8" x14ac:dyDescent="0.25">
      <c r="A5" t="s">
        <v>15</v>
      </c>
      <c r="B5" t="s">
        <v>1128</v>
      </c>
      <c r="C5">
        <v>1</v>
      </c>
      <c r="D5">
        <v>2</v>
      </c>
      <c r="E5" t="s">
        <v>1128</v>
      </c>
      <c r="F5">
        <v>11.67</v>
      </c>
    </row>
    <row r="6" spans="1:8" x14ac:dyDescent="0.25">
      <c r="A6" t="s">
        <v>15</v>
      </c>
      <c r="B6" t="s">
        <v>1129</v>
      </c>
      <c r="C6">
        <v>1</v>
      </c>
      <c r="D6">
        <v>2</v>
      </c>
      <c r="E6" t="s">
        <v>1129</v>
      </c>
      <c r="F6">
        <v>10.83</v>
      </c>
    </row>
    <row r="7" spans="1:8" x14ac:dyDescent="0.25">
      <c r="A7" t="s">
        <v>15</v>
      </c>
      <c r="B7" t="s">
        <v>1130</v>
      </c>
      <c r="C7">
        <v>1</v>
      </c>
      <c r="D7">
        <v>1</v>
      </c>
      <c r="E7" t="s">
        <v>1130</v>
      </c>
      <c r="F7">
        <v>10.69</v>
      </c>
    </row>
    <row r="8" spans="1:8" x14ac:dyDescent="0.25">
      <c r="A8" t="s">
        <v>15</v>
      </c>
      <c r="B8" t="s">
        <v>1131</v>
      </c>
      <c r="C8">
        <v>1</v>
      </c>
      <c r="D8">
        <v>0</v>
      </c>
      <c r="E8" t="s">
        <v>1131</v>
      </c>
      <c r="F8">
        <v>7.36</v>
      </c>
    </row>
    <row r="9" spans="1:8" x14ac:dyDescent="0.25">
      <c r="A9" t="s">
        <v>15</v>
      </c>
      <c r="B9" t="s">
        <v>363</v>
      </c>
      <c r="C9">
        <v>1</v>
      </c>
      <c r="D9">
        <v>0</v>
      </c>
      <c r="E9" t="s">
        <v>363</v>
      </c>
      <c r="F9">
        <v>6.39</v>
      </c>
    </row>
    <row r="10" spans="1:8" x14ac:dyDescent="0.25">
      <c r="A10" t="s">
        <v>15</v>
      </c>
      <c r="B10" t="s">
        <v>1132</v>
      </c>
      <c r="C10">
        <v>0</v>
      </c>
      <c r="D10">
        <v>2</v>
      </c>
      <c r="E10" t="s">
        <v>1132</v>
      </c>
      <c r="F10">
        <v>3.47</v>
      </c>
    </row>
    <row r="11" spans="1:8" x14ac:dyDescent="0.25">
      <c r="A11" t="s">
        <v>15</v>
      </c>
      <c r="B11" t="s">
        <v>1133</v>
      </c>
      <c r="C11">
        <v>0</v>
      </c>
      <c r="E11" t="s">
        <v>1133</v>
      </c>
      <c r="F11">
        <v>4.58</v>
      </c>
    </row>
    <row r="12" spans="1:8" x14ac:dyDescent="0.25">
      <c r="A12" t="s">
        <v>8</v>
      </c>
      <c r="B12" t="s">
        <v>366</v>
      </c>
      <c r="F12">
        <v>48.51</v>
      </c>
    </row>
    <row r="13" spans="1:8" x14ac:dyDescent="0.25">
      <c r="A13" t="s">
        <v>8</v>
      </c>
      <c r="B13" t="s">
        <v>1134</v>
      </c>
      <c r="C13">
        <v>1</v>
      </c>
      <c r="D13">
        <v>2</v>
      </c>
      <c r="E13" t="s">
        <v>1128</v>
      </c>
      <c r="F13">
        <v>31.37</v>
      </c>
      <c r="G13" t="s">
        <v>1209</v>
      </c>
    </row>
    <row r="14" spans="1:8" x14ac:dyDescent="0.25">
      <c r="A14" t="s">
        <v>8</v>
      </c>
      <c r="B14" t="s">
        <v>1135</v>
      </c>
      <c r="C14">
        <v>1</v>
      </c>
      <c r="D14">
        <v>1</v>
      </c>
      <c r="E14" t="s">
        <v>1130</v>
      </c>
      <c r="F14">
        <v>14.6</v>
      </c>
      <c r="H14" t="s">
        <v>1211</v>
      </c>
    </row>
    <row r="15" spans="1:8" x14ac:dyDescent="0.25">
      <c r="A15" t="s">
        <v>8</v>
      </c>
      <c r="B15" t="s">
        <v>1264</v>
      </c>
      <c r="C15">
        <v>1</v>
      </c>
      <c r="D15">
        <v>0</v>
      </c>
      <c r="E15" t="s">
        <v>1127</v>
      </c>
      <c r="F15">
        <v>13.83</v>
      </c>
      <c r="H15" t="s">
        <v>1212</v>
      </c>
    </row>
    <row r="16" spans="1:8" x14ac:dyDescent="0.25">
      <c r="A16" t="s">
        <v>8</v>
      </c>
      <c r="B16" t="s">
        <v>1136</v>
      </c>
      <c r="C16">
        <v>1</v>
      </c>
      <c r="D16">
        <v>0</v>
      </c>
      <c r="E16" t="s">
        <v>363</v>
      </c>
      <c r="F16">
        <v>9.89</v>
      </c>
    </row>
    <row r="17" spans="1:8" x14ac:dyDescent="0.25">
      <c r="A17" t="s">
        <v>8</v>
      </c>
      <c r="B17" t="s">
        <v>1137</v>
      </c>
      <c r="C17">
        <v>1</v>
      </c>
      <c r="D17">
        <v>1</v>
      </c>
      <c r="E17" t="s">
        <v>1126</v>
      </c>
      <c r="F17">
        <v>7.25</v>
      </c>
    </row>
    <row r="18" spans="1:8" x14ac:dyDescent="0.25">
      <c r="A18" t="s">
        <v>8</v>
      </c>
      <c r="B18" t="s">
        <v>1138</v>
      </c>
      <c r="C18">
        <v>1</v>
      </c>
      <c r="D18">
        <v>0</v>
      </c>
      <c r="E18" t="s">
        <v>1131</v>
      </c>
      <c r="F18">
        <v>5.5</v>
      </c>
    </row>
    <row r="19" spans="1:8" x14ac:dyDescent="0.25">
      <c r="A19" t="s">
        <v>8</v>
      </c>
      <c r="B19" t="s">
        <v>1139</v>
      </c>
      <c r="C19">
        <v>1</v>
      </c>
      <c r="D19">
        <v>2</v>
      </c>
      <c r="E19" t="s">
        <v>1132</v>
      </c>
      <c r="F19">
        <v>5.47</v>
      </c>
      <c r="H19" t="s">
        <v>1213</v>
      </c>
    </row>
    <row r="20" spans="1:8" x14ac:dyDescent="0.25">
      <c r="A20" t="s">
        <v>8</v>
      </c>
      <c r="B20" t="s">
        <v>1140</v>
      </c>
      <c r="C20">
        <v>0</v>
      </c>
      <c r="D20">
        <v>0</v>
      </c>
      <c r="E20" t="s">
        <v>363</v>
      </c>
      <c r="F20">
        <v>2.36</v>
      </c>
      <c r="H20" t="s">
        <v>1214</v>
      </c>
    </row>
    <row r="21" spans="1:8" x14ac:dyDescent="0.25">
      <c r="A21" t="s">
        <v>8</v>
      </c>
      <c r="B21" t="s">
        <v>1141</v>
      </c>
      <c r="C21">
        <v>0</v>
      </c>
      <c r="D21">
        <v>1</v>
      </c>
      <c r="E21" t="s">
        <v>1133</v>
      </c>
      <c r="F21">
        <v>2.35</v>
      </c>
      <c r="H21" t="s">
        <v>1215</v>
      </c>
    </row>
    <row r="22" spans="1:8" x14ac:dyDescent="0.25">
      <c r="A22" t="s">
        <v>8</v>
      </c>
      <c r="B22" t="s">
        <v>1142</v>
      </c>
      <c r="C22">
        <v>0</v>
      </c>
      <c r="D22">
        <v>0</v>
      </c>
      <c r="E22" t="s">
        <v>1133</v>
      </c>
      <c r="F22">
        <v>2</v>
      </c>
    </row>
    <row r="23" spans="1:8" x14ac:dyDescent="0.25">
      <c r="A23" t="s">
        <v>8</v>
      </c>
      <c r="B23" t="s">
        <v>352</v>
      </c>
      <c r="C23">
        <v>1</v>
      </c>
      <c r="E23" t="s">
        <v>1133</v>
      </c>
      <c r="F23">
        <v>5.38</v>
      </c>
      <c r="H23" t="s">
        <v>1216</v>
      </c>
    </row>
    <row r="24" spans="1:8" x14ac:dyDescent="0.25">
      <c r="A24" t="s">
        <v>4</v>
      </c>
      <c r="B24" t="s">
        <v>366</v>
      </c>
      <c r="F24">
        <v>17.5</v>
      </c>
      <c r="H24" t="s">
        <v>1217</v>
      </c>
    </row>
    <row r="25" spans="1:8" x14ac:dyDescent="0.25">
      <c r="A25" t="s">
        <v>4</v>
      </c>
      <c r="B25" t="s">
        <v>1143</v>
      </c>
      <c r="C25">
        <v>1</v>
      </c>
      <c r="D25">
        <v>1</v>
      </c>
      <c r="E25" t="s">
        <v>1126</v>
      </c>
      <c r="F25">
        <v>32.1</v>
      </c>
    </row>
    <row r="26" spans="1:8" x14ac:dyDescent="0.25">
      <c r="A26" t="s">
        <v>4</v>
      </c>
      <c r="B26" t="s">
        <v>1144</v>
      </c>
      <c r="C26">
        <v>1</v>
      </c>
      <c r="D26">
        <v>2</v>
      </c>
      <c r="E26" t="s">
        <v>1132</v>
      </c>
      <c r="F26">
        <v>20.6</v>
      </c>
      <c r="G26" t="s">
        <v>1218</v>
      </c>
    </row>
    <row r="27" spans="1:8" x14ac:dyDescent="0.25">
      <c r="A27" t="s">
        <v>4</v>
      </c>
      <c r="B27" t="s">
        <v>1145</v>
      </c>
      <c r="C27">
        <v>1</v>
      </c>
      <c r="D27">
        <v>0</v>
      </c>
      <c r="E27" t="s">
        <v>1127</v>
      </c>
      <c r="F27">
        <v>20.100000000000001</v>
      </c>
    </row>
    <row r="28" spans="1:8" x14ac:dyDescent="0.25">
      <c r="A28" t="s">
        <v>4</v>
      </c>
      <c r="B28" t="s">
        <v>1146</v>
      </c>
      <c r="C28">
        <v>1</v>
      </c>
      <c r="D28">
        <v>0</v>
      </c>
      <c r="E28" t="s">
        <v>1131</v>
      </c>
      <c r="F28">
        <v>11</v>
      </c>
    </row>
    <row r="29" spans="1:8" x14ac:dyDescent="0.25">
      <c r="A29" t="s">
        <v>4</v>
      </c>
      <c r="B29" t="s">
        <v>1147</v>
      </c>
      <c r="C29">
        <v>1</v>
      </c>
      <c r="D29">
        <v>0</v>
      </c>
      <c r="E29" t="s">
        <v>363</v>
      </c>
      <c r="F29">
        <v>7.9</v>
      </c>
    </row>
    <row r="30" spans="1:8" x14ac:dyDescent="0.25">
      <c r="A30" t="s">
        <v>4</v>
      </c>
      <c r="B30" t="s">
        <v>1148</v>
      </c>
      <c r="C30">
        <v>0</v>
      </c>
      <c r="D30">
        <v>0</v>
      </c>
      <c r="E30" t="s">
        <v>1133</v>
      </c>
      <c r="F30">
        <v>0.6</v>
      </c>
    </row>
    <row r="31" spans="1:8" x14ac:dyDescent="0.25">
      <c r="A31" t="s">
        <v>4</v>
      </c>
      <c r="B31" t="s">
        <v>1149</v>
      </c>
      <c r="C31">
        <v>0</v>
      </c>
      <c r="D31">
        <v>1</v>
      </c>
      <c r="E31" t="s">
        <v>1130</v>
      </c>
      <c r="F31">
        <v>3.3</v>
      </c>
    </row>
    <row r="32" spans="1:8" x14ac:dyDescent="0.25">
      <c r="A32" t="s">
        <v>4</v>
      </c>
      <c r="B32" t="s">
        <v>1150</v>
      </c>
      <c r="C32">
        <v>0</v>
      </c>
      <c r="D32">
        <v>1</v>
      </c>
      <c r="E32" t="s">
        <v>1130</v>
      </c>
      <c r="F32">
        <v>2.5</v>
      </c>
    </row>
    <row r="33" spans="1:8" x14ac:dyDescent="0.25">
      <c r="A33" t="s">
        <v>4</v>
      </c>
      <c r="B33" t="s">
        <v>1151</v>
      </c>
      <c r="C33">
        <v>0</v>
      </c>
      <c r="D33">
        <v>0</v>
      </c>
      <c r="E33" t="s">
        <v>363</v>
      </c>
      <c r="F33">
        <v>0.2</v>
      </c>
    </row>
    <row r="34" spans="1:8" x14ac:dyDescent="0.25">
      <c r="A34" t="s">
        <v>4</v>
      </c>
      <c r="B34" t="s">
        <v>1152</v>
      </c>
      <c r="C34">
        <v>0</v>
      </c>
      <c r="D34">
        <v>0</v>
      </c>
      <c r="E34" t="s">
        <v>1131</v>
      </c>
      <c r="F34">
        <v>0.8</v>
      </c>
    </row>
    <row r="35" spans="1:8" x14ac:dyDescent="0.25">
      <c r="A35" t="s">
        <v>4</v>
      </c>
      <c r="B35" t="s">
        <v>1153</v>
      </c>
      <c r="C35">
        <v>0</v>
      </c>
      <c r="D35">
        <v>0</v>
      </c>
      <c r="E35" t="s">
        <v>1133</v>
      </c>
      <c r="F35">
        <v>0.2</v>
      </c>
    </row>
    <row r="36" spans="1:8" x14ac:dyDescent="0.25">
      <c r="A36" t="s">
        <v>4</v>
      </c>
      <c r="B36" t="s">
        <v>352</v>
      </c>
      <c r="C36">
        <v>0</v>
      </c>
      <c r="E36" t="s">
        <v>1133</v>
      </c>
      <c r="F36">
        <v>0.7</v>
      </c>
      <c r="H36" t="s">
        <v>1219</v>
      </c>
    </row>
    <row r="37" spans="1:8" x14ac:dyDescent="0.25">
      <c r="A37" t="s">
        <v>5</v>
      </c>
      <c r="B37" t="s">
        <v>366</v>
      </c>
      <c r="F37">
        <v>51.69</v>
      </c>
    </row>
    <row r="38" spans="1:8" x14ac:dyDescent="0.25">
      <c r="A38" t="s">
        <v>5</v>
      </c>
      <c r="B38" t="s">
        <v>1154</v>
      </c>
      <c r="C38">
        <v>1</v>
      </c>
      <c r="D38">
        <v>2</v>
      </c>
      <c r="E38" t="s">
        <v>1129</v>
      </c>
      <c r="F38">
        <v>28.75</v>
      </c>
      <c r="G38" t="s">
        <v>1209</v>
      </c>
    </row>
    <row r="39" spans="1:8" x14ac:dyDescent="0.25">
      <c r="A39" t="s">
        <v>5</v>
      </c>
      <c r="B39" t="s">
        <v>1155</v>
      </c>
      <c r="C39">
        <v>1</v>
      </c>
      <c r="D39">
        <v>0</v>
      </c>
      <c r="E39" t="s">
        <v>1127</v>
      </c>
      <c r="F39">
        <v>24.11</v>
      </c>
    </row>
    <row r="40" spans="1:8" x14ac:dyDescent="0.25">
      <c r="A40" t="s">
        <v>5</v>
      </c>
      <c r="B40" t="s">
        <v>1156</v>
      </c>
      <c r="C40">
        <v>1</v>
      </c>
      <c r="D40">
        <v>0</v>
      </c>
      <c r="E40" t="s">
        <v>363</v>
      </c>
      <c r="F40">
        <v>9.98</v>
      </c>
    </row>
    <row r="41" spans="1:8" x14ac:dyDescent="0.25">
      <c r="A41" t="s">
        <v>5</v>
      </c>
      <c r="B41" t="s">
        <v>1157</v>
      </c>
      <c r="C41">
        <v>1</v>
      </c>
      <c r="D41">
        <v>1</v>
      </c>
      <c r="E41" t="s">
        <v>1126</v>
      </c>
      <c r="F41">
        <v>9.58</v>
      </c>
    </row>
    <row r="42" spans="1:8" x14ac:dyDescent="0.25">
      <c r="A42" t="s">
        <v>5</v>
      </c>
      <c r="B42" t="s">
        <v>1158</v>
      </c>
      <c r="C42">
        <v>1</v>
      </c>
      <c r="D42">
        <v>2</v>
      </c>
      <c r="E42" t="s">
        <v>1128</v>
      </c>
      <c r="F42">
        <v>8.9700000000000006</v>
      </c>
    </row>
    <row r="43" spans="1:8" x14ac:dyDescent="0.25">
      <c r="A43" t="s">
        <v>5</v>
      </c>
      <c r="B43" t="s">
        <v>1159</v>
      </c>
      <c r="C43">
        <v>1</v>
      </c>
      <c r="D43">
        <v>0</v>
      </c>
      <c r="E43" t="s">
        <v>1131</v>
      </c>
      <c r="F43">
        <v>6.79</v>
      </c>
    </row>
    <row r="44" spans="1:8" x14ac:dyDescent="0.25">
      <c r="A44" t="s">
        <v>5</v>
      </c>
      <c r="B44" t="s">
        <v>1160</v>
      </c>
      <c r="C44">
        <v>0</v>
      </c>
      <c r="D44">
        <v>1</v>
      </c>
      <c r="E44" t="s">
        <v>1130</v>
      </c>
      <c r="F44">
        <v>3.78</v>
      </c>
    </row>
    <row r="45" spans="1:8" x14ac:dyDescent="0.25">
      <c r="A45" t="s">
        <v>5</v>
      </c>
      <c r="B45" t="s">
        <v>1161</v>
      </c>
      <c r="C45">
        <v>0</v>
      </c>
      <c r="D45">
        <v>1</v>
      </c>
      <c r="E45" t="s">
        <v>1130</v>
      </c>
      <c r="F45">
        <v>3.36</v>
      </c>
    </row>
    <row r="46" spans="1:8" x14ac:dyDescent="0.25">
      <c r="A46" t="s">
        <v>5</v>
      </c>
      <c r="B46" t="s">
        <v>1162</v>
      </c>
      <c r="C46">
        <v>0</v>
      </c>
      <c r="D46">
        <v>0</v>
      </c>
      <c r="E46" t="s">
        <v>363</v>
      </c>
      <c r="F46">
        <v>2.21</v>
      </c>
    </row>
    <row r="47" spans="1:8" x14ac:dyDescent="0.25">
      <c r="A47" t="s">
        <v>5</v>
      </c>
      <c r="B47" t="s">
        <v>1163</v>
      </c>
      <c r="C47">
        <v>0</v>
      </c>
      <c r="D47">
        <v>2</v>
      </c>
      <c r="E47" t="s">
        <v>1133</v>
      </c>
      <c r="F47">
        <v>1.22</v>
      </c>
    </row>
    <row r="48" spans="1:8" x14ac:dyDescent="0.25">
      <c r="A48" t="s">
        <v>5</v>
      </c>
      <c r="B48" t="s">
        <v>352</v>
      </c>
      <c r="C48">
        <v>0</v>
      </c>
      <c r="E48" t="s">
        <v>1133</v>
      </c>
      <c r="F48">
        <v>0.57999999999999996</v>
      </c>
    </row>
    <row r="49" spans="1:8" x14ac:dyDescent="0.25">
      <c r="A49" t="s">
        <v>6</v>
      </c>
      <c r="B49" t="s">
        <v>366</v>
      </c>
      <c r="F49">
        <v>40.65</v>
      </c>
    </row>
    <row r="50" spans="1:8" x14ac:dyDescent="0.25">
      <c r="A50" t="s">
        <v>6</v>
      </c>
      <c r="B50" t="s">
        <v>1164</v>
      </c>
      <c r="C50">
        <v>1</v>
      </c>
      <c r="D50">
        <v>1</v>
      </c>
      <c r="E50" t="s">
        <v>1126</v>
      </c>
      <c r="F50">
        <v>37.06</v>
      </c>
      <c r="G50" t="s">
        <v>1209</v>
      </c>
    </row>
    <row r="51" spans="1:8" x14ac:dyDescent="0.25">
      <c r="A51" t="s">
        <v>6</v>
      </c>
      <c r="B51" t="s">
        <v>1165</v>
      </c>
      <c r="C51">
        <v>1</v>
      </c>
      <c r="D51">
        <v>2</v>
      </c>
      <c r="E51" t="s">
        <v>1129</v>
      </c>
      <c r="F51">
        <v>36.159999999999997</v>
      </c>
    </row>
    <row r="52" spans="1:8" x14ac:dyDescent="0.25">
      <c r="A52" t="s">
        <v>6</v>
      </c>
      <c r="B52" t="s">
        <v>1166</v>
      </c>
      <c r="C52">
        <v>1</v>
      </c>
      <c r="D52">
        <v>2</v>
      </c>
      <c r="E52" t="s">
        <v>1132</v>
      </c>
      <c r="F52">
        <v>12.08</v>
      </c>
    </row>
    <row r="53" spans="1:8" x14ac:dyDescent="0.25">
      <c r="A53" t="s">
        <v>6</v>
      </c>
      <c r="B53" t="s">
        <v>1235</v>
      </c>
      <c r="C53">
        <v>1</v>
      </c>
      <c r="D53">
        <v>1</v>
      </c>
      <c r="E53" t="s">
        <v>1126</v>
      </c>
      <c r="F53">
        <v>6.91</v>
      </c>
      <c r="H53" t="s">
        <v>1220</v>
      </c>
    </row>
    <row r="54" spans="1:8" x14ac:dyDescent="0.25">
      <c r="A54" t="s">
        <v>6</v>
      </c>
      <c r="B54" t="s">
        <v>1234</v>
      </c>
      <c r="C54">
        <v>0</v>
      </c>
      <c r="D54">
        <v>1</v>
      </c>
      <c r="E54" t="s">
        <v>1126</v>
      </c>
      <c r="F54">
        <v>0</v>
      </c>
    </row>
    <row r="55" spans="1:8" x14ac:dyDescent="0.25">
      <c r="A55" t="s">
        <v>6</v>
      </c>
      <c r="B55" t="s">
        <v>1233</v>
      </c>
      <c r="C55">
        <v>1</v>
      </c>
      <c r="D55">
        <v>0</v>
      </c>
      <c r="E55" t="s">
        <v>1127</v>
      </c>
      <c r="F55">
        <v>6.3</v>
      </c>
      <c r="H55" t="s">
        <v>1221</v>
      </c>
    </row>
    <row r="56" spans="1:8" x14ac:dyDescent="0.25">
      <c r="A56" t="s">
        <v>6</v>
      </c>
      <c r="B56" t="s">
        <v>352</v>
      </c>
      <c r="C56">
        <v>0</v>
      </c>
      <c r="E56" t="s">
        <v>1133</v>
      </c>
      <c r="F56">
        <v>0.56000000000000005</v>
      </c>
    </row>
    <row r="57" spans="1:8" x14ac:dyDescent="0.25">
      <c r="A57" t="s">
        <v>16</v>
      </c>
      <c r="B57" t="s">
        <v>366</v>
      </c>
      <c r="F57">
        <v>53.61</v>
      </c>
    </row>
    <row r="58" spans="1:8" x14ac:dyDescent="0.25">
      <c r="A58" t="s">
        <v>16</v>
      </c>
      <c r="B58" t="s">
        <v>1167</v>
      </c>
      <c r="C58">
        <v>1</v>
      </c>
      <c r="D58">
        <v>1</v>
      </c>
      <c r="E58" t="s">
        <v>1126</v>
      </c>
      <c r="F58">
        <v>34.21</v>
      </c>
      <c r="G58" t="s">
        <v>1209</v>
      </c>
    </row>
    <row r="59" spans="1:8" x14ac:dyDescent="0.25">
      <c r="A59" t="s">
        <v>16</v>
      </c>
      <c r="B59" t="s">
        <v>1168</v>
      </c>
      <c r="C59">
        <v>1</v>
      </c>
      <c r="D59">
        <v>0</v>
      </c>
      <c r="E59" t="s">
        <v>1127</v>
      </c>
      <c r="F59">
        <v>30.19</v>
      </c>
    </row>
    <row r="60" spans="1:8" x14ac:dyDescent="0.25">
      <c r="A60" t="s">
        <v>16</v>
      </c>
      <c r="B60" t="s">
        <v>1169</v>
      </c>
      <c r="C60">
        <v>1</v>
      </c>
      <c r="D60">
        <v>2</v>
      </c>
      <c r="E60" t="s">
        <v>1128</v>
      </c>
      <c r="F60">
        <v>9.6300000000000008</v>
      </c>
    </row>
    <row r="61" spans="1:8" x14ac:dyDescent="0.25">
      <c r="A61" t="s">
        <v>16</v>
      </c>
      <c r="B61" t="s">
        <v>1170</v>
      </c>
      <c r="C61">
        <v>0</v>
      </c>
      <c r="D61">
        <v>0</v>
      </c>
      <c r="E61" t="s">
        <v>1131</v>
      </c>
      <c r="F61">
        <v>4.91</v>
      </c>
    </row>
    <row r="62" spans="1:8" x14ac:dyDescent="0.25">
      <c r="A62" t="s">
        <v>16</v>
      </c>
      <c r="B62" t="s">
        <v>1171</v>
      </c>
      <c r="C62">
        <v>0</v>
      </c>
      <c r="D62">
        <v>0</v>
      </c>
      <c r="E62" t="s">
        <v>1131</v>
      </c>
      <c r="F62">
        <v>4.67</v>
      </c>
    </row>
    <row r="63" spans="1:8" x14ac:dyDescent="0.25">
      <c r="A63" t="s">
        <v>16</v>
      </c>
      <c r="B63" t="s">
        <v>1172</v>
      </c>
      <c r="C63">
        <v>0</v>
      </c>
      <c r="D63">
        <v>2</v>
      </c>
      <c r="E63" t="s">
        <v>1129</v>
      </c>
      <c r="F63">
        <v>4.58</v>
      </c>
    </row>
    <row r="64" spans="1:8" x14ac:dyDescent="0.25">
      <c r="A64" t="s">
        <v>16</v>
      </c>
      <c r="B64" t="s">
        <v>1173</v>
      </c>
      <c r="C64">
        <v>0</v>
      </c>
      <c r="D64">
        <v>0</v>
      </c>
      <c r="E64" t="s">
        <v>363</v>
      </c>
      <c r="F64">
        <v>3.3</v>
      </c>
    </row>
    <row r="65" spans="1:7" x14ac:dyDescent="0.25">
      <c r="A65" t="s">
        <v>16</v>
      </c>
      <c r="B65" t="s">
        <v>1174</v>
      </c>
      <c r="C65">
        <v>0</v>
      </c>
      <c r="D65">
        <v>1</v>
      </c>
      <c r="E65" t="s">
        <v>1133</v>
      </c>
      <c r="F65">
        <v>2.52</v>
      </c>
    </row>
    <row r="66" spans="1:7" x14ac:dyDescent="0.25">
      <c r="A66" t="s">
        <v>16</v>
      </c>
      <c r="B66" t="s">
        <v>1175</v>
      </c>
      <c r="C66">
        <v>0</v>
      </c>
      <c r="D66">
        <v>1</v>
      </c>
      <c r="E66" t="s">
        <v>1130</v>
      </c>
      <c r="F66">
        <v>1.63</v>
      </c>
    </row>
    <row r="67" spans="1:7" x14ac:dyDescent="0.25">
      <c r="A67" t="s">
        <v>16</v>
      </c>
      <c r="B67" t="s">
        <v>352</v>
      </c>
      <c r="C67">
        <v>0</v>
      </c>
      <c r="E67" t="s">
        <v>1133</v>
      </c>
      <c r="F67">
        <v>4.3600000000000003</v>
      </c>
    </row>
    <row r="68" spans="1:7" x14ac:dyDescent="0.25">
      <c r="A68" t="s">
        <v>17</v>
      </c>
      <c r="B68" t="s">
        <v>366</v>
      </c>
      <c r="F68">
        <v>40.299999999999997</v>
      </c>
    </row>
    <row r="69" spans="1:7" x14ac:dyDescent="0.25">
      <c r="A69" t="s">
        <v>17</v>
      </c>
      <c r="B69" t="s">
        <v>1176</v>
      </c>
      <c r="C69">
        <v>1</v>
      </c>
      <c r="D69">
        <v>0</v>
      </c>
      <c r="F69">
        <v>33.700000000000003</v>
      </c>
      <c r="G69" t="s">
        <v>1222</v>
      </c>
    </row>
    <row r="70" spans="1:7" x14ac:dyDescent="0.25">
      <c r="A70" t="s">
        <v>17</v>
      </c>
      <c r="B70" t="s">
        <v>1177</v>
      </c>
      <c r="C70">
        <v>1</v>
      </c>
      <c r="D70">
        <v>1</v>
      </c>
      <c r="F70">
        <v>23.7</v>
      </c>
    </row>
    <row r="71" spans="1:7" x14ac:dyDescent="0.25">
      <c r="A71" t="s">
        <v>17</v>
      </c>
      <c r="B71" t="s">
        <v>1178</v>
      </c>
      <c r="C71">
        <v>1</v>
      </c>
      <c r="D71">
        <v>2</v>
      </c>
      <c r="F71">
        <v>14.29</v>
      </c>
    </row>
    <row r="72" spans="1:7" x14ac:dyDescent="0.25">
      <c r="A72" t="s">
        <v>17</v>
      </c>
      <c r="B72" t="s">
        <v>1179</v>
      </c>
      <c r="C72">
        <v>1</v>
      </c>
      <c r="D72">
        <v>1</v>
      </c>
      <c r="F72">
        <v>12.22</v>
      </c>
    </row>
    <row r="73" spans="1:7" x14ac:dyDescent="0.25">
      <c r="A73" t="s">
        <v>17</v>
      </c>
      <c r="B73" t="s">
        <v>1180</v>
      </c>
      <c r="C73">
        <v>1</v>
      </c>
      <c r="D73">
        <v>0</v>
      </c>
      <c r="F73">
        <v>6.4</v>
      </c>
    </row>
    <row r="74" spans="1:7" x14ac:dyDescent="0.25">
      <c r="A74" t="s">
        <v>17</v>
      </c>
      <c r="B74" t="s">
        <v>1181</v>
      </c>
      <c r="C74">
        <v>0</v>
      </c>
      <c r="D74">
        <v>0</v>
      </c>
      <c r="F74">
        <v>2.52</v>
      </c>
    </row>
    <row r="75" spans="1:7" x14ac:dyDescent="0.25">
      <c r="A75" t="s">
        <v>17</v>
      </c>
      <c r="B75" t="s">
        <v>1182</v>
      </c>
      <c r="C75">
        <v>0</v>
      </c>
      <c r="D75">
        <v>0</v>
      </c>
      <c r="F75">
        <v>0.73</v>
      </c>
    </row>
    <row r="76" spans="1:7" x14ac:dyDescent="0.25">
      <c r="A76" t="s">
        <v>17</v>
      </c>
      <c r="B76" t="s">
        <v>1183</v>
      </c>
      <c r="C76">
        <v>0</v>
      </c>
      <c r="D76">
        <v>0</v>
      </c>
      <c r="F76">
        <v>0.68</v>
      </c>
    </row>
    <row r="77" spans="1:7" x14ac:dyDescent="0.25">
      <c r="A77" t="s">
        <v>17</v>
      </c>
      <c r="B77" t="s">
        <v>1184</v>
      </c>
      <c r="C77">
        <v>0</v>
      </c>
      <c r="D77">
        <v>2</v>
      </c>
      <c r="F77">
        <v>0.6</v>
      </c>
    </row>
    <row r="78" spans="1:7" x14ac:dyDescent="0.25">
      <c r="A78" t="s">
        <v>17</v>
      </c>
      <c r="B78" t="s">
        <v>1185</v>
      </c>
      <c r="C78">
        <v>0</v>
      </c>
      <c r="D78">
        <v>1</v>
      </c>
      <c r="F78">
        <v>0.41</v>
      </c>
    </row>
    <row r="79" spans="1:7" x14ac:dyDescent="0.25">
      <c r="A79" t="s">
        <v>17</v>
      </c>
      <c r="B79" t="s">
        <v>352</v>
      </c>
      <c r="C79">
        <v>0</v>
      </c>
      <c r="D79">
        <v>1</v>
      </c>
      <c r="F79">
        <v>2.1</v>
      </c>
    </row>
    <row r="80" spans="1:7" x14ac:dyDescent="0.25">
      <c r="A80" t="s">
        <v>18</v>
      </c>
      <c r="B80" t="s">
        <v>366</v>
      </c>
      <c r="F80">
        <v>53.3</v>
      </c>
    </row>
    <row r="81" spans="1:8" x14ac:dyDescent="0.25">
      <c r="A81" t="s">
        <v>18</v>
      </c>
      <c r="B81" t="s">
        <v>1186</v>
      </c>
      <c r="C81">
        <v>1</v>
      </c>
      <c r="D81">
        <v>2</v>
      </c>
      <c r="F81">
        <v>27.93</v>
      </c>
      <c r="G81" t="s">
        <v>1223</v>
      </c>
    </row>
    <row r="82" spans="1:8" x14ac:dyDescent="0.25">
      <c r="A82" t="s">
        <v>18</v>
      </c>
      <c r="B82" t="s">
        <v>1187</v>
      </c>
      <c r="C82">
        <v>1</v>
      </c>
      <c r="D82">
        <v>0</v>
      </c>
      <c r="F82">
        <v>18.27</v>
      </c>
    </row>
    <row r="83" spans="1:8" x14ac:dyDescent="0.25">
      <c r="A83" t="s">
        <v>18</v>
      </c>
      <c r="B83" t="s">
        <v>1188</v>
      </c>
      <c r="C83">
        <v>1</v>
      </c>
      <c r="D83">
        <v>1</v>
      </c>
      <c r="F83">
        <v>14.25</v>
      </c>
    </row>
    <row r="84" spans="1:8" x14ac:dyDescent="0.25">
      <c r="A84" t="s">
        <v>18</v>
      </c>
      <c r="B84" t="s">
        <v>1189</v>
      </c>
      <c r="C84">
        <v>1</v>
      </c>
      <c r="D84">
        <v>1</v>
      </c>
      <c r="F84">
        <v>14.06</v>
      </c>
    </row>
    <row r="85" spans="1:8" x14ac:dyDescent="0.25">
      <c r="A85" t="s">
        <v>18</v>
      </c>
      <c r="B85" t="s">
        <v>1190</v>
      </c>
      <c r="C85">
        <v>1</v>
      </c>
      <c r="D85">
        <v>0</v>
      </c>
      <c r="F85">
        <v>9.7799999999999994</v>
      </c>
    </row>
    <row r="86" spans="1:8" x14ac:dyDescent="0.25">
      <c r="A86" t="s">
        <v>18</v>
      </c>
      <c r="B86" t="s">
        <v>1191</v>
      </c>
      <c r="C86">
        <v>1</v>
      </c>
      <c r="D86">
        <v>1</v>
      </c>
      <c r="F86">
        <v>7.55</v>
      </c>
    </row>
    <row r="87" spans="1:8" x14ac:dyDescent="0.25">
      <c r="A87" t="s">
        <v>18</v>
      </c>
      <c r="B87" t="s">
        <v>1192</v>
      </c>
      <c r="C87">
        <v>0</v>
      </c>
      <c r="D87">
        <v>1</v>
      </c>
      <c r="F87">
        <v>1.95</v>
      </c>
    </row>
    <row r="88" spans="1:8" x14ac:dyDescent="0.25">
      <c r="A88" t="s">
        <v>18</v>
      </c>
      <c r="B88" t="s">
        <v>1193</v>
      </c>
      <c r="C88">
        <v>0</v>
      </c>
      <c r="D88">
        <v>1</v>
      </c>
      <c r="F88">
        <v>1.23</v>
      </c>
    </row>
    <row r="89" spans="1:8" x14ac:dyDescent="0.25">
      <c r="A89" t="s">
        <v>18</v>
      </c>
      <c r="B89" t="s">
        <v>352</v>
      </c>
      <c r="C89">
        <v>0</v>
      </c>
      <c r="F89">
        <v>2.84</v>
      </c>
    </row>
    <row r="90" spans="1:8" x14ac:dyDescent="0.25">
      <c r="A90" t="s">
        <v>7</v>
      </c>
      <c r="B90" t="s">
        <v>366</v>
      </c>
      <c r="F90">
        <v>46.2</v>
      </c>
      <c r="G90" t="s">
        <v>1224</v>
      </c>
      <c r="H90" t="s">
        <v>1225</v>
      </c>
    </row>
    <row r="91" spans="1:8" x14ac:dyDescent="0.25">
      <c r="A91" t="s">
        <v>7</v>
      </c>
      <c r="B91" t="s">
        <v>1194</v>
      </c>
      <c r="C91">
        <v>1</v>
      </c>
      <c r="D91">
        <v>1</v>
      </c>
      <c r="F91">
        <v>26.73</v>
      </c>
    </row>
    <row r="92" spans="1:8" x14ac:dyDescent="0.25">
      <c r="A92" t="s">
        <v>7</v>
      </c>
      <c r="B92" t="s">
        <v>1195</v>
      </c>
      <c r="C92">
        <v>1</v>
      </c>
      <c r="D92">
        <v>0</v>
      </c>
      <c r="F92">
        <v>21.2</v>
      </c>
    </row>
    <row r="93" spans="1:8" x14ac:dyDescent="0.25">
      <c r="A93" t="s">
        <v>7</v>
      </c>
      <c r="B93" t="s">
        <v>1196</v>
      </c>
      <c r="C93">
        <v>1</v>
      </c>
      <c r="D93">
        <v>1</v>
      </c>
      <c r="F93">
        <v>9.36</v>
      </c>
    </row>
    <row r="94" spans="1:8" x14ac:dyDescent="0.25">
      <c r="A94" t="s">
        <v>7</v>
      </c>
      <c r="B94" t="s">
        <v>1197</v>
      </c>
      <c r="C94">
        <v>1</v>
      </c>
      <c r="D94">
        <v>1</v>
      </c>
      <c r="F94">
        <v>11.32</v>
      </c>
    </row>
    <row r="95" spans="1:8" x14ac:dyDescent="0.25">
      <c r="A95" t="s">
        <v>7</v>
      </c>
      <c r="B95" t="s">
        <v>1198</v>
      </c>
      <c r="C95">
        <v>1</v>
      </c>
      <c r="D95">
        <v>1</v>
      </c>
      <c r="F95">
        <v>10.93</v>
      </c>
    </row>
    <row r="96" spans="1:8" x14ac:dyDescent="0.25">
      <c r="A96" t="s">
        <v>7</v>
      </c>
      <c r="B96" t="s">
        <v>1199</v>
      </c>
      <c r="C96">
        <v>0</v>
      </c>
      <c r="D96">
        <v>0</v>
      </c>
      <c r="F96">
        <v>6.98</v>
      </c>
    </row>
    <row r="97" spans="1:8" x14ac:dyDescent="0.25">
      <c r="A97" t="s">
        <v>7</v>
      </c>
      <c r="B97" t="s">
        <v>1200</v>
      </c>
      <c r="C97">
        <v>1</v>
      </c>
      <c r="D97">
        <v>0</v>
      </c>
      <c r="F97">
        <v>6.16</v>
      </c>
    </row>
    <row r="98" spans="1:8" x14ac:dyDescent="0.25">
      <c r="A98" t="s">
        <v>7</v>
      </c>
      <c r="B98" t="s">
        <v>1201</v>
      </c>
      <c r="C98">
        <v>0</v>
      </c>
      <c r="D98">
        <v>2</v>
      </c>
      <c r="F98">
        <v>3.43</v>
      </c>
    </row>
    <row r="99" spans="1:8" x14ac:dyDescent="0.25">
      <c r="A99" t="s">
        <v>7</v>
      </c>
      <c r="B99" t="s">
        <v>1202</v>
      </c>
      <c r="C99">
        <v>0</v>
      </c>
      <c r="D99">
        <v>2</v>
      </c>
      <c r="F99">
        <v>2.1</v>
      </c>
    </row>
    <row r="100" spans="1:8" x14ac:dyDescent="0.25">
      <c r="A100" t="s">
        <v>7</v>
      </c>
      <c r="B100" t="s">
        <v>1203</v>
      </c>
      <c r="C100">
        <v>0</v>
      </c>
      <c r="D100">
        <v>0</v>
      </c>
      <c r="F100">
        <v>1.71</v>
      </c>
    </row>
    <row r="101" spans="1:8" x14ac:dyDescent="0.25">
      <c r="A101" t="s">
        <v>7</v>
      </c>
      <c r="B101" t="s">
        <v>352</v>
      </c>
      <c r="C101">
        <v>0</v>
      </c>
      <c r="F101">
        <v>7.0000000000000007E-2</v>
      </c>
    </row>
    <row r="102" spans="1:8" x14ac:dyDescent="0.25">
      <c r="A102" t="s">
        <v>1</v>
      </c>
      <c r="B102" t="s">
        <v>366</v>
      </c>
      <c r="F102">
        <v>36.5</v>
      </c>
      <c r="G102" t="s">
        <v>1226</v>
      </c>
      <c r="H102" t="s">
        <v>1227</v>
      </c>
    </row>
    <row r="103" spans="1:8" x14ac:dyDescent="0.25">
      <c r="A103" t="s">
        <v>1</v>
      </c>
      <c r="B103" t="s">
        <v>1204</v>
      </c>
      <c r="C103">
        <v>1</v>
      </c>
      <c r="D103">
        <v>0</v>
      </c>
      <c r="F103">
        <v>48.3</v>
      </c>
      <c r="G103" t="s">
        <v>1228</v>
      </c>
    </row>
    <row r="104" spans="1:8" x14ac:dyDescent="0.25">
      <c r="A104" t="s">
        <v>1</v>
      </c>
      <c r="B104" t="s">
        <v>1205</v>
      </c>
      <c r="C104">
        <v>1</v>
      </c>
      <c r="D104">
        <v>1</v>
      </c>
      <c r="F104">
        <v>49.9</v>
      </c>
    </row>
    <row r="105" spans="1:8" x14ac:dyDescent="0.25">
      <c r="A105" t="s">
        <v>1</v>
      </c>
      <c r="B105" t="s">
        <v>352</v>
      </c>
      <c r="C105">
        <v>0</v>
      </c>
      <c r="F105">
        <v>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zoomScale="115" zoomScaleNormal="115" workbookViewId="0">
      <pane ySplit="1" topLeftCell="A11" activePane="bottomLeft" state="frozen"/>
      <selection activeCell="K25" sqref="K25"/>
      <selection pane="bottomLeft" activeCell="J28" sqref="J28"/>
    </sheetView>
  </sheetViews>
  <sheetFormatPr baseColWidth="10" defaultRowHeight="15" x14ac:dyDescent="0.25"/>
  <cols>
    <col min="1" max="1" width="22.7109375" customWidth="1"/>
  </cols>
  <sheetData>
    <row r="1" spans="1:18" x14ac:dyDescent="0.25">
      <c r="A1" s="10"/>
      <c r="B1" s="14" t="s">
        <v>8</v>
      </c>
      <c r="C1" s="14" t="s">
        <v>4</v>
      </c>
      <c r="D1" s="14" t="s">
        <v>5</v>
      </c>
      <c r="E1" s="14" t="s">
        <v>6</v>
      </c>
      <c r="F1" s="14" t="s">
        <v>625</v>
      </c>
      <c r="G1" s="14" t="s">
        <v>58</v>
      </c>
      <c r="H1" s="14" t="s">
        <v>914</v>
      </c>
      <c r="I1" s="14" t="s">
        <v>61</v>
      </c>
      <c r="J1" s="14" t="s">
        <v>19</v>
      </c>
      <c r="K1" s="14" t="s">
        <v>1012</v>
      </c>
      <c r="L1" s="14" t="s">
        <v>57</v>
      </c>
      <c r="M1" s="14" t="s">
        <v>60</v>
      </c>
      <c r="N1" s="14" t="s">
        <v>56</v>
      </c>
      <c r="O1" s="14" t="s">
        <v>55</v>
      </c>
      <c r="P1" s="14" t="s">
        <v>35</v>
      </c>
      <c r="Q1" s="14" t="s">
        <v>59</v>
      </c>
      <c r="R1" s="14" t="s">
        <v>1049</v>
      </c>
    </row>
    <row r="2" spans="1:18" s="1" customFormat="1" x14ac:dyDescent="0.25">
      <c r="A2" s="14" t="s">
        <v>334</v>
      </c>
      <c r="B2" s="14" t="s">
        <v>10</v>
      </c>
      <c r="C2" s="14" t="s">
        <v>10</v>
      </c>
      <c r="D2" s="14" t="s">
        <v>10</v>
      </c>
      <c r="E2" s="14" t="s">
        <v>10</v>
      </c>
      <c r="F2" s="14" t="s">
        <v>10</v>
      </c>
      <c r="G2" s="14" t="s">
        <v>9</v>
      </c>
      <c r="H2" s="14" t="s">
        <v>9</v>
      </c>
      <c r="I2" s="14" t="s">
        <v>9</v>
      </c>
      <c r="J2" s="14" t="s">
        <v>10</v>
      </c>
      <c r="K2" s="14" t="s">
        <v>10</v>
      </c>
      <c r="L2" s="14" t="s">
        <v>10</v>
      </c>
      <c r="M2" s="14" t="s">
        <v>9</v>
      </c>
      <c r="N2" s="14" t="s">
        <v>9</v>
      </c>
      <c r="O2" s="14" t="s">
        <v>9</v>
      </c>
      <c r="P2" s="14" t="s">
        <v>9</v>
      </c>
      <c r="Q2" s="1" t="s">
        <v>9</v>
      </c>
    </row>
    <row r="3" spans="1:18" s="1" customFormat="1" x14ac:dyDescent="0.25">
      <c r="A3" s="14" t="s">
        <v>619</v>
      </c>
      <c r="B3" s="14" t="s">
        <v>713</v>
      </c>
      <c r="C3" s="14" t="s">
        <v>713</v>
      </c>
      <c r="D3" s="14" t="s">
        <v>713</v>
      </c>
      <c r="E3" s="14" t="s">
        <v>713</v>
      </c>
      <c r="F3" s="14" t="s">
        <v>713</v>
      </c>
      <c r="G3" s="14" t="s">
        <v>500</v>
      </c>
      <c r="H3" s="14" t="s">
        <v>500</v>
      </c>
      <c r="I3" s="14" t="s">
        <v>845</v>
      </c>
      <c r="J3" s="14" t="s">
        <v>713</v>
      </c>
      <c r="K3" s="14" t="s">
        <v>713</v>
      </c>
      <c r="L3" s="14" t="s">
        <v>713</v>
      </c>
      <c r="M3" s="14" t="s">
        <v>500</v>
      </c>
      <c r="N3" s="14" t="s">
        <v>500</v>
      </c>
      <c r="O3" s="14" t="s">
        <v>500</v>
      </c>
      <c r="P3" s="14" t="s">
        <v>500</v>
      </c>
      <c r="Q3" s="1">
        <v>1</v>
      </c>
    </row>
    <row r="4" spans="1:18" x14ac:dyDescent="0.25">
      <c r="A4" s="10" t="s">
        <v>36</v>
      </c>
      <c r="B4" s="10" t="s">
        <v>846</v>
      </c>
      <c r="C4" s="10" t="s">
        <v>846</v>
      </c>
      <c r="D4" s="10" t="s">
        <v>846</v>
      </c>
      <c r="E4" s="10" t="s">
        <v>847</v>
      </c>
      <c r="F4" s="10" t="s">
        <v>846</v>
      </c>
      <c r="G4" s="10" t="s">
        <v>845</v>
      </c>
      <c r="H4" s="10" t="s">
        <v>845</v>
      </c>
      <c r="I4" s="10" t="s">
        <v>848</v>
      </c>
      <c r="J4" s="10" t="s">
        <v>849</v>
      </c>
      <c r="K4" s="10" t="s">
        <v>847</v>
      </c>
      <c r="L4" s="10" t="s">
        <v>847</v>
      </c>
      <c r="M4" s="10" t="s">
        <v>845</v>
      </c>
      <c r="N4" s="10" t="s">
        <v>845</v>
      </c>
      <c r="O4" s="10" t="s">
        <v>845</v>
      </c>
      <c r="P4" s="10" t="s">
        <v>845</v>
      </c>
      <c r="Q4">
        <v>10000</v>
      </c>
    </row>
    <row r="5" spans="1:18" x14ac:dyDescent="0.25">
      <c r="A5" s="10" t="s">
        <v>38</v>
      </c>
      <c r="B5" s="10" t="s">
        <v>847</v>
      </c>
      <c r="C5" s="10" t="s">
        <v>847</v>
      </c>
      <c r="D5" s="10" t="s">
        <v>847</v>
      </c>
      <c r="E5" s="10" t="s">
        <v>850</v>
      </c>
      <c r="F5" s="10" t="s">
        <v>847</v>
      </c>
      <c r="G5" s="10" t="s">
        <v>849</v>
      </c>
      <c r="H5" s="10" t="s">
        <v>851</v>
      </c>
      <c r="I5" s="10" t="s">
        <v>852</v>
      </c>
      <c r="J5" s="10" t="s">
        <v>853</v>
      </c>
      <c r="K5" s="10" t="s">
        <v>850</v>
      </c>
      <c r="L5" s="10" t="s">
        <v>850</v>
      </c>
      <c r="M5" s="10" t="s">
        <v>854</v>
      </c>
      <c r="N5" s="10" t="s">
        <v>851</v>
      </c>
      <c r="O5" s="10" t="s">
        <v>851</v>
      </c>
      <c r="P5" s="10" t="s">
        <v>851</v>
      </c>
      <c r="Q5">
        <v>40000</v>
      </c>
    </row>
    <row r="6" spans="1:18" x14ac:dyDescent="0.25">
      <c r="A6" s="10" t="s">
        <v>39</v>
      </c>
      <c r="B6" s="10" t="s">
        <v>855</v>
      </c>
      <c r="C6" s="10" t="s">
        <v>855</v>
      </c>
      <c r="D6" s="10" t="s">
        <v>855</v>
      </c>
      <c r="E6" s="10" t="s">
        <v>856</v>
      </c>
      <c r="F6" s="10" t="s">
        <v>855</v>
      </c>
      <c r="G6" s="10" t="s">
        <v>851</v>
      </c>
      <c r="H6" s="10" t="s">
        <v>857</v>
      </c>
      <c r="I6" s="10" t="s">
        <v>846</v>
      </c>
      <c r="J6" s="10" t="s">
        <v>858</v>
      </c>
      <c r="K6" s="10" t="s">
        <v>856</v>
      </c>
      <c r="L6" s="10" t="s">
        <v>856</v>
      </c>
      <c r="M6" s="10" t="s">
        <v>853</v>
      </c>
      <c r="N6" s="10" t="s">
        <v>857</v>
      </c>
      <c r="O6" s="10" t="s">
        <v>857</v>
      </c>
      <c r="P6" s="10" t="s">
        <v>857</v>
      </c>
      <c r="Q6">
        <v>60000</v>
      </c>
    </row>
    <row r="7" spans="1:18" x14ac:dyDescent="0.25">
      <c r="A7" s="10" t="s">
        <v>40</v>
      </c>
      <c r="B7" s="10" t="s">
        <v>845</v>
      </c>
      <c r="C7" s="10" t="s">
        <v>845</v>
      </c>
      <c r="D7" s="10" t="s">
        <v>845</v>
      </c>
      <c r="E7" s="10" t="s">
        <v>851</v>
      </c>
      <c r="F7" s="10" t="s">
        <v>845</v>
      </c>
      <c r="G7" s="10" t="s">
        <v>858</v>
      </c>
      <c r="H7" s="10" t="s">
        <v>858</v>
      </c>
      <c r="I7" s="10" t="s">
        <v>859</v>
      </c>
      <c r="J7" s="10" t="s">
        <v>860</v>
      </c>
      <c r="K7" s="10" t="s">
        <v>851</v>
      </c>
      <c r="L7" s="10" t="s">
        <v>851</v>
      </c>
      <c r="M7" s="10" t="s">
        <v>858</v>
      </c>
      <c r="N7" s="10" t="s">
        <v>858</v>
      </c>
      <c r="O7" s="10" t="s">
        <v>858</v>
      </c>
      <c r="P7" s="10" t="s">
        <v>858</v>
      </c>
      <c r="Q7">
        <v>100000</v>
      </c>
    </row>
    <row r="8" spans="1:18" x14ac:dyDescent="0.25">
      <c r="A8" s="10" t="s">
        <v>37</v>
      </c>
      <c r="B8" s="10" t="s">
        <v>1005</v>
      </c>
      <c r="C8" s="10" t="s">
        <v>1005</v>
      </c>
      <c r="D8" s="10" t="s">
        <v>1005</v>
      </c>
      <c r="E8" s="10" t="s">
        <v>1006</v>
      </c>
      <c r="F8" s="10" t="s">
        <v>1005</v>
      </c>
      <c r="G8" s="10" t="s">
        <v>1007</v>
      </c>
      <c r="H8" s="10" t="s">
        <v>1008</v>
      </c>
      <c r="I8" s="10" t="s">
        <v>1009</v>
      </c>
      <c r="J8" s="10" t="s">
        <v>1010</v>
      </c>
      <c r="K8" s="10" t="s">
        <v>1011</v>
      </c>
      <c r="L8" s="10" t="s">
        <v>1011</v>
      </c>
      <c r="M8" s="10" t="s">
        <v>500</v>
      </c>
      <c r="N8" s="10" t="s">
        <v>1008</v>
      </c>
      <c r="O8" s="10" t="s">
        <v>1008</v>
      </c>
      <c r="P8" s="10" t="s">
        <v>1008</v>
      </c>
      <c r="Q8">
        <v>1</v>
      </c>
    </row>
    <row r="9" spans="1:18" x14ac:dyDescent="0.25">
      <c r="A9" s="16" t="s">
        <v>44</v>
      </c>
      <c r="B9" s="10" t="s">
        <v>325</v>
      </c>
      <c r="C9" s="10" t="s">
        <v>326</v>
      </c>
      <c r="D9" s="10" t="s">
        <v>327</v>
      </c>
      <c r="E9" s="10" t="s">
        <v>472</v>
      </c>
      <c r="F9" s="10" t="s">
        <v>328</v>
      </c>
      <c r="G9" s="10" t="s">
        <v>42</v>
      </c>
      <c r="H9" s="10" t="s">
        <v>308</v>
      </c>
      <c r="I9" s="10" t="s">
        <v>670</v>
      </c>
      <c r="J9" s="10" t="s">
        <v>329</v>
      </c>
      <c r="K9" s="10" t="s">
        <v>1014</v>
      </c>
      <c r="L9" s="10" t="s">
        <v>731</v>
      </c>
      <c r="M9" s="10" t="s">
        <v>41</v>
      </c>
      <c r="N9" s="10" t="s">
        <v>330</v>
      </c>
      <c r="O9" s="10" t="s">
        <v>331</v>
      </c>
      <c r="P9" s="10" t="s">
        <v>332</v>
      </c>
      <c r="Q9" t="s">
        <v>333</v>
      </c>
    </row>
    <row r="10" spans="1:18" x14ac:dyDescent="0.25">
      <c r="A10" s="16" t="s">
        <v>45</v>
      </c>
      <c r="B10" s="10" t="s">
        <v>129</v>
      </c>
      <c r="C10" s="10" t="s">
        <v>768</v>
      </c>
      <c r="D10" s="10" t="s">
        <v>277</v>
      </c>
      <c r="E10" s="10" t="s">
        <v>278</v>
      </c>
      <c r="F10" s="10" t="s">
        <v>291</v>
      </c>
      <c r="G10" s="10" t="s">
        <v>51</v>
      </c>
      <c r="H10" s="10" t="s">
        <v>51</v>
      </c>
      <c r="I10" s="10" t="s">
        <v>1000</v>
      </c>
      <c r="J10" s="10" t="s">
        <v>307</v>
      </c>
      <c r="K10" s="10" t="s">
        <v>51</v>
      </c>
      <c r="L10" s="10" t="s">
        <v>309</v>
      </c>
      <c r="M10" s="10" t="s">
        <v>51</v>
      </c>
      <c r="N10" s="10" t="s">
        <v>129</v>
      </c>
      <c r="O10" s="10" t="s">
        <v>768</v>
      </c>
      <c r="P10" s="10" t="s">
        <v>277</v>
      </c>
      <c r="Q10" t="s">
        <v>291</v>
      </c>
    </row>
    <row r="11" spans="1:18" x14ac:dyDescent="0.25">
      <c r="A11" s="16" t="s">
        <v>46</v>
      </c>
      <c r="B11" s="10" t="s">
        <v>130</v>
      </c>
      <c r="C11" s="10" t="s">
        <v>260</v>
      </c>
      <c r="D11" s="10" t="s">
        <v>780</v>
      </c>
      <c r="E11" s="10" t="s">
        <v>279</v>
      </c>
      <c r="F11" s="10" t="s">
        <v>793</v>
      </c>
      <c r="G11" s="10" t="s">
        <v>43</v>
      </c>
      <c r="H11" s="10" t="s">
        <v>43</v>
      </c>
      <c r="I11" s="10" t="s">
        <v>292</v>
      </c>
      <c r="J11" s="10" t="s">
        <v>306</v>
      </c>
      <c r="K11" s="10" t="s">
        <v>43</v>
      </c>
      <c r="L11" s="10" t="s">
        <v>310</v>
      </c>
      <c r="M11" s="10" t="s">
        <v>43</v>
      </c>
      <c r="N11" s="10" t="s">
        <v>130</v>
      </c>
      <c r="O11" s="10" t="s">
        <v>260</v>
      </c>
      <c r="P11" s="10" t="s">
        <v>780</v>
      </c>
      <c r="Q11" t="s">
        <v>793</v>
      </c>
    </row>
    <row r="12" spans="1:18" x14ac:dyDescent="0.25">
      <c r="A12" s="16" t="s">
        <v>47</v>
      </c>
      <c r="B12" s="10" t="s">
        <v>179</v>
      </c>
      <c r="C12" s="10" t="s">
        <v>777</v>
      </c>
      <c r="D12" s="10" t="s">
        <v>781</v>
      </c>
      <c r="E12" s="10" t="s">
        <v>473</v>
      </c>
      <c r="F12" s="10" t="s">
        <v>290</v>
      </c>
      <c r="G12" s="10" t="s">
        <v>671</v>
      </c>
      <c r="H12" s="10" t="s">
        <v>169</v>
      </c>
      <c r="I12" s="10" t="s">
        <v>1086</v>
      </c>
      <c r="J12" s="10" t="s">
        <v>305</v>
      </c>
      <c r="K12" s="10" t="s">
        <v>671</v>
      </c>
      <c r="L12" s="10" t="s">
        <v>732</v>
      </c>
      <c r="M12" s="10" t="s">
        <v>671</v>
      </c>
      <c r="N12" s="10" t="s">
        <v>179</v>
      </c>
      <c r="O12" s="10" t="s">
        <v>777</v>
      </c>
      <c r="P12" s="10" t="s">
        <v>781</v>
      </c>
      <c r="Q12" t="s">
        <v>290</v>
      </c>
    </row>
    <row r="13" spans="1:18" x14ac:dyDescent="0.25">
      <c r="A13" s="16" t="s">
        <v>672</v>
      </c>
      <c r="B13" s="10" t="s">
        <v>673</v>
      </c>
      <c r="C13" s="10" t="s">
        <v>769</v>
      </c>
      <c r="D13" s="10" t="s">
        <v>674</v>
      </c>
      <c r="E13" s="10" t="s">
        <v>675</v>
      </c>
      <c r="F13" s="10" t="s">
        <v>676</v>
      </c>
      <c r="G13" s="10" t="s">
        <v>677</v>
      </c>
      <c r="H13" s="10" t="s">
        <v>677</v>
      </c>
      <c r="I13" s="10" t="s">
        <v>1087</v>
      </c>
      <c r="J13" s="10" t="s">
        <v>678</v>
      </c>
      <c r="K13" s="10" t="s">
        <v>677</v>
      </c>
      <c r="L13" s="10" t="s">
        <v>733</v>
      </c>
      <c r="M13" s="10" t="s">
        <v>677</v>
      </c>
      <c r="N13" s="10" t="s">
        <v>673</v>
      </c>
      <c r="O13" s="10" t="s">
        <v>769</v>
      </c>
      <c r="P13" s="10" t="s">
        <v>674</v>
      </c>
      <c r="Q13" t="s">
        <v>676</v>
      </c>
    </row>
    <row r="14" spans="1:18" x14ac:dyDescent="0.25">
      <c r="A14" s="16" t="s">
        <v>679</v>
      </c>
      <c r="B14" s="10" t="s">
        <v>680</v>
      </c>
      <c r="C14" s="10" t="s">
        <v>778</v>
      </c>
      <c r="D14" s="10" t="s">
        <v>681</v>
      </c>
      <c r="E14" s="10" t="s">
        <v>682</v>
      </c>
      <c r="F14" s="10" t="s">
        <v>894</v>
      </c>
      <c r="G14" s="10" t="s">
        <v>683</v>
      </c>
      <c r="H14" s="10" t="s">
        <v>684</v>
      </c>
      <c r="I14" s="10" t="s">
        <v>685</v>
      </c>
      <c r="J14" s="10" t="s">
        <v>686</v>
      </c>
      <c r="K14" s="10" t="s">
        <v>1015</v>
      </c>
      <c r="L14" s="10" t="s">
        <v>734</v>
      </c>
      <c r="M14" s="10" t="s">
        <v>687</v>
      </c>
      <c r="N14" s="10" t="s">
        <v>688</v>
      </c>
      <c r="O14" s="10" t="s">
        <v>809</v>
      </c>
      <c r="P14" s="10" t="s">
        <v>689</v>
      </c>
      <c r="Q14" t="s">
        <v>690</v>
      </c>
    </row>
    <row r="15" spans="1:18" x14ac:dyDescent="0.25">
      <c r="A15" s="16" t="s">
        <v>48</v>
      </c>
      <c r="B15" s="10" t="s">
        <v>1091</v>
      </c>
      <c r="C15" s="10" t="s">
        <v>770</v>
      </c>
      <c r="D15" s="10" t="s">
        <v>915</v>
      </c>
      <c r="E15" s="10" t="s">
        <v>728</v>
      </c>
      <c r="F15" s="10" t="s">
        <v>1089</v>
      </c>
      <c r="G15" s="10" t="s">
        <v>691</v>
      </c>
      <c r="H15" s="10" t="s">
        <v>691</v>
      </c>
      <c r="I15" s="10" t="s">
        <v>1001</v>
      </c>
      <c r="J15" s="10" t="s">
        <v>1098</v>
      </c>
      <c r="K15" s="10" t="s">
        <v>691</v>
      </c>
      <c r="L15" s="10" t="s">
        <v>735</v>
      </c>
      <c r="M15" s="10" t="s">
        <v>691</v>
      </c>
      <c r="N15" s="10" t="s">
        <v>1091</v>
      </c>
      <c r="O15" s="10" t="s">
        <v>770</v>
      </c>
      <c r="P15" s="10" t="s">
        <v>915</v>
      </c>
      <c r="Q15" t="s">
        <v>289</v>
      </c>
    </row>
    <row r="16" spans="1:18" x14ac:dyDescent="0.25">
      <c r="A16" s="16" t="s">
        <v>49</v>
      </c>
      <c r="B16" s="10" t="s">
        <v>1092</v>
      </c>
      <c r="C16" s="10" t="s">
        <v>771</v>
      </c>
      <c r="D16" s="10" t="s">
        <v>916</v>
      </c>
      <c r="E16" s="10" t="s">
        <v>474</v>
      </c>
      <c r="F16" s="10" t="s">
        <v>1090</v>
      </c>
      <c r="G16" s="10" t="s">
        <v>692</v>
      </c>
      <c r="H16" s="10" t="s">
        <v>692</v>
      </c>
      <c r="I16" s="10" t="s">
        <v>1002</v>
      </c>
      <c r="J16" s="10" t="s">
        <v>1099</v>
      </c>
      <c r="K16" s="10" t="s">
        <v>692</v>
      </c>
      <c r="L16" s="10" t="s">
        <v>736</v>
      </c>
      <c r="M16" s="10" t="s">
        <v>692</v>
      </c>
      <c r="N16" s="10" t="s">
        <v>1092</v>
      </c>
      <c r="O16" s="10" t="s">
        <v>771</v>
      </c>
      <c r="P16" s="10" t="s">
        <v>916</v>
      </c>
      <c r="Q16" t="s">
        <v>288</v>
      </c>
    </row>
    <row r="17" spans="1:18" x14ac:dyDescent="0.25">
      <c r="A17" s="10" t="s">
        <v>50</v>
      </c>
      <c r="B17" s="10" t="s">
        <v>132</v>
      </c>
      <c r="C17" s="10" t="s">
        <v>261</v>
      </c>
      <c r="D17" s="10" t="s">
        <v>276</v>
      </c>
      <c r="E17" s="10" t="s">
        <v>280</v>
      </c>
      <c r="F17" s="10" t="s">
        <v>287</v>
      </c>
      <c r="G17" s="10" t="s">
        <v>52</v>
      </c>
      <c r="H17" s="10" t="s">
        <v>52</v>
      </c>
      <c r="I17" s="10" t="s">
        <v>293</v>
      </c>
      <c r="J17" s="10" t="s">
        <v>304</v>
      </c>
      <c r="K17" s="10" t="s">
        <v>52</v>
      </c>
      <c r="L17" s="10" t="s">
        <v>311</v>
      </c>
      <c r="M17" s="10" t="s">
        <v>52</v>
      </c>
      <c r="N17" s="10" t="s">
        <v>132</v>
      </c>
      <c r="O17" s="10" t="s">
        <v>261</v>
      </c>
      <c r="P17" s="10" t="s">
        <v>276</v>
      </c>
      <c r="Q17" t="s">
        <v>287</v>
      </c>
    </row>
    <row r="18" spans="1:18" x14ac:dyDescent="0.25">
      <c r="A18" s="10" t="s">
        <v>475</v>
      </c>
      <c r="B18" s="10" t="s">
        <v>476</v>
      </c>
      <c r="C18" s="10" t="s">
        <v>779</v>
      </c>
      <c r="D18" s="10" t="s">
        <v>782</v>
      </c>
      <c r="E18" s="10" t="s">
        <v>477</v>
      </c>
      <c r="F18" s="10" t="s">
        <v>478</v>
      </c>
      <c r="G18" s="10" t="s">
        <v>693</v>
      </c>
      <c r="H18" s="10" t="s">
        <v>479</v>
      </c>
      <c r="I18" s="26" t="s">
        <v>1088</v>
      </c>
      <c r="J18" s="10" t="s">
        <v>1100</v>
      </c>
      <c r="K18" s="10" t="s">
        <v>693</v>
      </c>
      <c r="L18" s="10" t="s">
        <v>737</v>
      </c>
      <c r="M18" s="10" t="s">
        <v>693</v>
      </c>
      <c r="N18" s="10" t="s">
        <v>476</v>
      </c>
      <c r="O18" s="10" t="s">
        <v>779</v>
      </c>
      <c r="P18" s="10" t="s">
        <v>817</v>
      </c>
      <c r="Q18" t="s">
        <v>478</v>
      </c>
    </row>
    <row r="19" spans="1:18" x14ac:dyDescent="0.25">
      <c r="A19" s="16" t="s">
        <v>53</v>
      </c>
      <c r="B19" s="16" t="s">
        <v>846</v>
      </c>
      <c r="C19" s="16" t="s">
        <v>846</v>
      </c>
      <c r="D19" s="16" t="s">
        <v>846</v>
      </c>
      <c r="E19" s="16" t="s">
        <v>855</v>
      </c>
      <c r="F19" s="16" t="s">
        <v>846</v>
      </c>
      <c r="G19" s="16" t="s">
        <v>845</v>
      </c>
      <c r="H19" s="16" t="s">
        <v>845</v>
      </c>
      <c r="I19" s="16" t="s">
        <v>861</v>
      </c>
      <c r="J19" s="16" t="s">
        <v>858</v>
      </c>
      <c r="K19" s="16" t="s">
        <v>855</v>
      </c>
      <c r="L19" s="16" t="s">
        <v>855</v>
      </c>
      <c r="M19" s="16" t="s">
        <v>845</v>
      </c>
      <c r="N19" s="16" t="s">
        <v>845</v>
      </c>
      <c r="O19" s="16" t="s">
        <v>845</v>
      </c>
      <c r="P19" s="16" t="s">
        <v>845</v>
      </c>
      <c r="Q19" s="5">
        <v>10000</v>
      </c>
      <c r="R19" s="5"/>
    </row>
    <row r="20" spans="1:18" x14ac:dyDescent="0.25">
      <c r="A20" s="10" t="s">
        <v>54</v>
      </c>
      <c r="B20" s="10" t="s">
        <v>862</v>
      </c>
      <c r="C20" s="10" t="s">
        <v>862</v>
      </c>
      <c r="D20" s="10" t="s">
        <v>862</v>
      </c>
      <c r="E20" s="16" t="s">
        <v>846</v>
      </c>
      <c r="F20" s="10" t="s">
        <v>862</v>
      </c>
      <c r="G20" s="10" t="s">
        <v>863</v>
      </c>
      <c r="H20" s="10" t="s">
        <v>863</v>
      </c>
      <c r="I20" s="10" t="s">
        <v>864</v>
      </c>
      <c r="J20" s="10" t="s">
        <v>865</v>
      </c>
      <c r="K20" s="10" t="s">
        <v>846</v>
      </c>
      <c r="L20" s="10" t="s">
        <v>846</v>
      </c>
      <c r="M20" s="10" t="s">
        <v>863</v>
      </c>
      <c r="N20" s="10" t="s">
        <v>863</v>
      </c>
      <c r="O20" s="10" t="s">
        <v>863</v>
      </c>
      <c r="P20" s="10" t="s">
        <v>863</v>
      </c>
      <c r="Q20">
        <v>2500</v>
      </c>
    </row>
    <row r="21" spans="1:18" x14ac:dyDescent="0.25">
      <c r="A21" s="16" t="s">
        <v>455</v>
      </c>
      <c r="B21" s="10" t="s">
        <v>446</v>
      </c>
      <c r="C21" s="10" t="s">
        <v>1045</v>
      </c>
      <c r="D21" s="10" t="s">
        <v>448</v>
      </c>
      <c r="E21" s="10" t="s">
        <v>448</v>
      </c>
      <c r="F21" s="10" t="s">
        <v>449</v>
      </c>
      <c r="G21" s="10" t="s">
        <v>447</v>
      </c>
      <c r="H21" s="10" t="s">
        <v>447</v>
      </c>
      <c r="I21" s="10" t="s">
        <v>454</v>
      </c>
      <c r="J21" s="10" t="s">
        <v>1101</v>
      </c>
      <c r="K21" s="10" t="s">
        <v>447</v>
      </c>
      <c r="L21" s="10" t="s">
        <v>738</v>
      </c>
      <c r="M21" s="10" t="s">
        <v>447</v>
      </c>
      <c r="N21" s="10" t="s">
        <v>451</v>
      </c>
      <c r="O21" s="10" t="s">
        <v>1046</v>
      </c>
      <c r="P21" s="10" t="s">
        <v>452</v>
      </c>
      <c r="Q21" t="s">
        <v>453</v>
      </c>
    </row>
    <row r="22" spans="1:18" x14ac:dyDescent="0.25">
      <c r="A22" s="16" t="s">
        <v>456</v>
      </c>
      <c r="B22" s="10" t="s">
        <v>694</v>
      </c>
      <c r="C22" s="10" t="s">
        <v>695</v>
      </c>
      <c r="D22" s="10" t="s">
        <v>783</v>
      </c>
      <c r="E22" s="10" t="s">
        <v>696</v>
      </c>
      <c r="F22" s="10" t="s">
        <v>697</v>
      </c>
      <c r="G22" s="10" t="s">
        <v>457</v>
      </c>
      <c r="H22" s="10" t="s">
        <v>457</v>
      </c>
      <c r="I22" s="10" t="s">
        <v>467</v>
      </c>
      <c r="J22" s="10" t="s">
        <v>1102</v>
      </c>
      <c r="K22" s="10" t="s">
        <v>457</v>
      </c>
      <c r="L22" s="10" t="s">
        <v>739</v>
      </c>
      <c r="M22" s="10" t="s">
        <v>457</v>
      </c>
      <c r="N22" s="10" t="s">
        <v>462</v>
      </c>
      <c r="O22" s="10" t="s">
        <v>460</v>
      </c>
      <c r="P22" s="10" t="s">
        <v>955</v>
      </c>
      <c r="Q22" t="s">
        <v>458</v>
      </c>
    </row>
    <row r="23" spans="1:18" x14ac:dyDescent="0.25">
      <c r="A23" s="14" t="s">
        <v>470</v>
      </c>
      <c r="B23" s="10" t="s">
        <v>434</v>
      </c>
      <c r="C23" s="10" t="s">
        <v>435</v>
      </c>
      <c r="D23" s="10" t="s">
        <v>436</v>
      </c>
      <c r="E23" s="14" t="s">
        <v>437</v>
      </c>
      <c r="F23" s="17" t="s">
        <v>438</v>
      </c>
      <c r="G23" s="10" t="s">
        <v>12</v>
      </c>
      <c r="H23" s="17" t="s">
        <v>12</v>
      </c>
      <c r="I23" s="10" t="s">
        <v>794</v>
      </c>
      <c r="J23" s="10" t="s">
        <v>443</v>
      </c>
      <c r="K23" s="10" t="s">
        <v>11</v>
      </c>
      <c r="L23" s="10" t="s">
        <v>444</v>
      </c>
      <c r="M23" s="10" t="s">
        <v>12</v>
      </c>
      <c r="N23" s="10" t="s">
        <v>445</v>
      </c>
      <c r="O23" s="10" t="s">
        <v>795</v>
      </c>
      <c r="P23" s="10" t="s">
        <v>818</v>
      </c>
      <c r="Q23" t="s">
        <v>441</v>
      </c>
    </row>
    <row r="24" spans="1:18" x14ac:dyDescent="0.25">
      <c r="A24" s="16" t="s">
        <v>576</v>
      </c>
      <c r="B24" s="10" t="s">
        <v>137</v>
      </c>
      <c r="C24" s="10" t="s">
        <v>266</v>
      </c>
      <c r="D24" s="10" t="s">
        <v>273</v>
      </c>
      <c r="E24" s="10" t="s">
        <v>284</v>
      </c>
      <c r="F24" s="17" t="s">
        <v>285</v>
      </c>
      <c r="G24" s="10" t="s">
        <v>698</v>
      </c>
      <c r="H24" s="17" t="s">
        <v>578</v>
      </c>
      <c r="I24" s="10" t="s">
        <v>295</v>
      </c>
      <c r="J24" s="10" t="s">
        <v>1103</v>
      </c>
      <c r="K24" s="10" t="s">
        <v>1016</v>
      </c>
      <c r="L24" s="10" t="s">
        <v>740</v>
      </c>
      <c r="M24" s="10" t="s">
        <v>114</v>
      </c>
      <c r="N24" s="10" t="s">
        <v>579</v>
      </c>
      <c r="O24" s="10" t="s">
        <v>318</v>
      </c>
      <c r="P24" s="10" t="s">
        <v>787</v>
      </c>
      <c r="Q24" t="s">
        <v>580</v>
      </c>
    </row>
    <row r="25" spans="1:18" x14ac:dyDescent="0.25">
      <c r="A25" s="16" t="s">
        <v>62</v>
      </c>
      <c r="B25" s="10" t="s">
        <v>506</v>
      </c>
      <c r="C25" s="10" t="s">
        <v>506</v>
      </c>
      <c r="D25" s="10" t="s">
        <v>506</v>
      </c>
      <c r="E25" s="10" t="s">
        <v>987</v>
      </c>
      <c r="F25" s="17" t="s">
        <v>506</v>
      </c>
      <c r="G25" s="10" t="s">
        <v>988</v>
      </c>
      <c r="H25" s="17" t="s">
        <v>507</v>
      </c>
      <c r="I25" s="10" t="s">
        <v>991</v>
      </c>
      <c r="J25" s="10" t="s">
        <v>505</v>
      </c>
      <c r="K25" s="10" t="s">
        <v>1017</v>
      </c>
      <c r="L25" s="10" t="s">
        <v>741</v>
      </c>
      <c r="M25" s="10" t="s">
        <v>508</v>
      </c>
      <c r="N25" s="10" t="s">
        <v>917</v>
      </c>
      <c r="O25" s="10" t="s">
        <v>917</v>
      </c>
      <c r="P25" s="10" t="s">
        <v>917</v>
      </c>
      <c r="Q25" t="s">
        <v>508</v>
      </c>
    </row>
    <row r="26" spans="1:18" x14ac:dyDescent="0.25">
      <c r="A26" s="16" t="s">
        <v>64</v>
      </c>
      <c r="B26" s="10" t="s">
        <v>503</v>
      </c>
      <c r="C26" s="10" t="s">
        <v>918</v>
      </c>
      <c r="D26" s="10" t="s">
        <v>503</v>
      </c>
      <c r="E26" s="10" t="s">
        <v>662</v>
      </c>
      <c r="F26" s="17" t="s">
        <v>503</v>
      </c>
      <c r="G26" s="10" t="s">
        <v>504</v>
      </c>
      <c r="H26" s="17" t="s">
        <v>909</v>
      </c>
      <c r="I26" s="10" t="s">
        <v>985</v>
      </c>
      <c r="J26" s="10" t="s">
        <v>986</v>
      </c>
      <c r="K26" s="10" t="s">
        <v>1018</v>
      </c>
      <c r="L26" s="10" t="s">
        <v>911</v>
      </c>
      <c r="M26" s="10" t="s">
        <v>910</v>
      </c>
      <c r="N26" s="10" t="s">
        <v>909</v>
      </c>
      <c r="O26" s="10" t="s">
        <v>909</v>
      </c>
      <c r="P26" s="10" t="s">
        <v>909</v>
      </c>
      <c r="Q26" t="s">
        <v>910</v>
      </c>
    </row>
    <row r="27" spans="1:18" x14ac:dyDescent="0.25">
      <c r="A27" s="16" t="s">
        <v>509</v>
      </c>
      <c r="B27" s="10" t="s">
        <v>500</v>
      </c>
      <c r="C27" s="10" t="s">
        <v>496</v>
      </c>
      <c r="D27" s="10" t="s">
        <v>500</v>
      </c>
      <c r="E27" s="10" t="s">
        <v>496</v>
      </c>
      <c r="F27" s="17" t="s">
        <v>500</v>
      </c>
      <c r="G27" s="10" t="s">
        <v>500</v>
      </c>
      <c r="H27" s="17" t="s">
        <v>500</v>
      </c>
      <c r="I27" s="10" t="s">
        <v>496</v>
      </c>
      <c r="J27" s="10" t="s">
        <v>496</v>
      </c>
      <c r="K27" s="10" t="s">
        <v>502</v>
      </c>
      <c r="L27" s="10" t="s">
        <v>502</v>
      </c>
      <c r="M27" s="10" t="s">
        <v>496</v>
      </c>
      <c r="N27" s="10" t="s">
        <v>500</v>
      </c>
      <c r="O27" s="10" t="s">
        <v>500</v>
      </c>
      <c r="P27" s="10" t="s">
        <v>500</v>
      </c>
      <c r="Q27">
        <v>2</v>
      </c>
    </row>
    <row r="28" spans="1:18" x14ac:dyDescent="0.25">
      <c r="A28" s="16" t="s">
        <v>563</v>
      </c>
      <c r="B28" s="10" t="s">
        <v>895</v>
      </c>
      <c r="C28" s="10" t="s">
        <v>919</v>
      </c>
      <c r="D28" s="10" t="s">
        <v>895</v>
      </c>
      <c r="E28" s="10" t="s">
        <v>989</v>
      </c>
      <c r="F28" s="10" t="s">
        <v>895</v>
      </c>
      <c r="G28" s="10" t="s">
        <v>912</v>
      </c>
      <c r="H28" s="10" t="s">
        <v>564</v>
      </c>
      <c r="I28" s="10" t="s">
        <v>990</v>
      </c>
      <c r="J28" s="10" t="s">
        <v>992</v>
      </c>
      <c r="K28" s="10" t="s">
        <v>1019</v>
      </c>
      <c r="L28" s="10" t="s">
        <v>994</v>
      </c>
      <c r="M28" s="10" t="s">
        <v>993</v>
      </c>
      <c r="N28" s="10" t="s">
        <v>920</v>
      </c>
      <c r="O28" s="10" t="s">
        <v>920</v>
      </c>
      <c r="P28" s="10" t="s">
        <v>920</v>
      </c>
      <c r="Q28" t="s">
        <v>913</v>
      </c>
    </row>
    <row r="29" spans="1:18" x14ac:dyDescent="0.25">
      <c r="A29" s="16" t="s">
        <v>65</v>
      </c>
      <c r="B29" s="10" t="s">
        <v>131</v>
      </c>
      <c r="C29" s="10" t="s">
        <v>131</v>
      </c>
      <c r="D29" s="10" t="s">
        <v>131</v>
      </c>
      <c r="E29" s="10" t="s">
        <v>480</v>
      </c>
      <c r="F29" s="10" t="s">
        <v>131</v>
      </c>
      <c r="G29" s="10" t="s">
        <v>170</v>
      </c>
      <c r="H29" s="10" t="s">
        <v>221</v>
      </c>
      <c r="I29" s="10" t="s">
        <v>213</v>
      </c>
      <c r="J29" s="10" t="s">
        <v>222</v>
      </c>
      <c r="K29" s="10" t="s">
        <v>1020</v>
      </c>
      <c r="L29" s="10" t="s">
        <v>742</v>
      </c>
      <c r="M29" s="10" t="s">
        <v>151</v>
      </c>
      <c r="N29" s="10" t="s">
        <v>223</v>
      </c>
      <c r="O29" s="10" t="s">
        <v>223</v>
      </c>
      <c r="P29" s="10" t="s">
        <v>921</v>
      </c>
      <c r="Q29" t="s">
        <v>151</v>
      </c>
    </row>
    <row r="30" spans="1:18" x14ac:dyDescent="0.25">
      <c r="A30" s="16" t="s">
        <v>66</v>
      </c>
      <c r="B30" s="18" t="s">
        <v>67</v>
      </c>
      <c r="C30" s="18" t="s">
        <v>203</v>
      </c>
      <c r="D30" s="18" t="s">
        <v>204</v>
      </c>
      <c r="E30" s="18" t="s">
        <v>205</v>
      </c>
      <c r="F30" s="18" t="s">
        <v>206</v>
      </c>
      <c r="G30" s="10" t="s">
        <v>118</v>
      </c>
      <c r="H30" s="10" t="s">
        <v>14</v>
      </c>
      <c r="I30" s="10" t="s">
        <v>207</v>
      </c>
      <c r="J30" s="10" t="s">
        <v>208</v>
      </c>
      <c r="K30" s="10" t="s">
        <v>13</v>
      </c>
      <c r="L30" s="10" t="s">
        <v>209</v>
      </c>
      <c r="M30" s="10" t="s">
        <v>119</v>
      </c>
      <c r="N30" s="10" t="s">
        <v>211</v>
      </c>
      <c r="O30" s="10" t="s">
        <v>210</v>
      </c>
      <c r="P30" s="10" t="s">
        <v>212</v>
      </c>
      <c r="Q30" t="s">
        <v>322</v>
      </c>
    </row>
    <row r="31" spans="1:18" x14ac:dyDescent="0.25">
      <c r="A31" s="16" t="s">
        <v>69</v>
      </c>
      <c r="B31" s="18" t="s">
        <v>481</v>
      </c>
      <c r="C31" s="18" t="s">
        <v>481</v>
      </c>
      <c r="D31" s="18" t="s">
        <v>481</v>
      </c>
      <c r="E31" s="18" t="s">
        <v>481</v>
      </c>
      <c r="F31" s="18" t="s">
        <v>481</v>
      </c>
      <c r="G31" s="18" t="s">
        <v>481</v>
      </c>
      <c r="H31" s="18" t="s">
        <v>482</v>
      </c>
      <c r="I31" s="18" t="s">
        <v>481</v>
      </c>
      <c r="J31" s="10" t="s">
        <v>481</v>
      </c>
      <c r="K31" s="10" t="s">
        <v>482</v>
      </c>
      <c r="L31" s="10" t="s">
        <v>482</v>
      </c>
      <c r="M31" s="10" t="s">
        <v>481</v>
      </c>
      <c r="N31" s="10" t="s">
        <v>482</v>
      </c>
      <c r="O31" s="10" t="s">
        <v>482</v>
      </c>
      <c r="P31" s="10" t="s">
        <v>482</v>
      </c>
      <c r="Q31" t="s">
        <v>481</v>
      </c>
    </row>
    <row r="32" spans="1:18" x14ac:dyDescent="0.25">
      <c r="A32" s="16" t="s">
        <v>68</v>
      </c>
      <c r="B32" s="18" t="s">
        <v>866</v>
      </c>
      <c r="C32" s="18" t="s">
        <v>866</v>
      </c>
      <c r="D32" s="18" t="s">
        <v>866</v>
      </c>
      <c r="E32" s="18" t="s">
        <v>866</v>
      </c>
      <c r="F32" s="18" t="s">
        <v>866</v>
      </c>
      <c r="G32" s="18" t="s">
        <v>867</v>
      </c>
      <c r="H32" s="18" t="s">
        <v>866</v>
      </c>
      <c r="I32" s="18" t="s">
        <v>868</v>
      </c>
      <c r="J32" s="10" t="s">
        <v>869</v>
      </c>
      <c r="K32" s="10" t="s">
        <v>870</v>
      </c>
      <c r="L32" s="10" t="s">
        <v>870</v>
      </c>
      <c r="M32" s="10" t="s">
        <v>871</v>
      </c>
      <c r="N32" s="10" t="s">
        <v>866</v>
      </c>
      <c r="O32" s="10" t="s">
        <v>866</v>
      </c>
      <c r="P32" s="10" t="s">
        <v>866</v>
      </c>
      <c r="Q32">
        <v>48</v>
      </c>
    </row>
    <row r="33" spans="1:26" x14ac:dyDescent="0.25">
      <c r="A33" s="16" t="s">
        <v>510</v>
      </c>
      <c r="B33" s="10" t="s">
        <v>872</v>
      </c>
      <c r="C33" s="10" t="s">
        <v>872</v>
      </c>
      <c r="D33" s="10" t="s">
        <v>872</v>
      </c>
      <c r="E33" s="10" t="s">
        <v>872</v>
      </c>
      <c r="F33" s="10" t="s">
        <v>872</v>
      </c>
      <c r="G33" s="10" t="s">
        <v>866</v>
      </c>
      <c r="H33" s="10" t="s">
        <v>866</v>
      </c>
      <c r="I33" s="10" t="s">
        <v>866</v>
      </c>
      <c r="J33" s="10" t="s">
        <v>866</v>
      </c>
      <c r="K33" s="10" t="s">
        <v>866</v>
      </c>
      <c r="L33" s="10" t="s">
        <v>866</v>
      </c>
      <c r="M33" s="10" t="s">
        <v>866</v>
      </c>
      <c r="N33" s="10" t="s">
        <v>866</v>
      </c>
      <c r="O33" s="10" t="s">
        <v>866</v>
      </c>
      <c r="P33" s="10" t="s">
        <v>866</v>
      </c>
      <c r="Q33">
        <v>33</v>
      </c>
    </row>
    <row r="34" spans="1:26" x14ac:dyDescent="0.25">
      <c r="A34" s="16" t="s">
        <v>70</v>
      </c>
      <c r="B34" s="18" t="s">
        <v>873</v>
      </c>
      <c r="C34" s="18" t="s">
        <v>873</v>
      </c>
      <c r="D34" s="18" t="s">
        <v>873</v>
      </c>
      <c r="E34" s="18" t="s">
        <v>873</v>
      </c>
      <c r="F34" s="18" t="s">
        <v>873</v>
      </c>
      <c r="G34" s="18" t="s">
        <v>874</v>
      </c>
      <c r="H34" s="18" t="s">
        <v>875</v>
      </c>
      <c r="I34" s="18" t="s">
        <v>876</v>
      </c>
      <c r="J34" s="10" t="s">
        <v>877</v>
      </c>
      <c r="K34" s="10" t="s">
        <v>878</v>
      </c>
      <c r="L34" s="10" t="s">
        <v>878</v>
      </c>
      <c r="M34" s="10" t="s">
        <v>879</v>
      </c>
      <c r="N34" s="10" t="s">
        <v>875</v>
      </c>
      <c r="O34" s="10" t="s">
        <v>875</v>
      </c>
      <c r="P34" s="10" t="s">
        <v>875</v>
      </c>
      <c r="Q34">
        <v>71</v>
      </c>
    </row>
    <row r="35" spans="1:26" x14ac:dyDescent="0.25">
      <c r="A35" s="16" t="s">
        <v>152</v>
      </c>
      <c r="B35" s="18" t="s">
        <v>873</v>
      </c>
      <c r="C35" s="18" t="s">
        <v>873</v>
      </c>
      <c r="D35" s="18" t="s">
        <v>873</v>
      </c>
      <c r="E35" s="18" t="s">
        <v>873</v>
      </c>
      <c r="F35" s="18" t="s">
        <v>873</v>
      </c>
      <c r="G35" s="18" t="s">
        <v>879</v>
      </c>
      <c r="H35" s="18" t="s">
        <v>880</v>
      </c>
      <c r="I35" s="18" t="s">
        <v>881</v>
      </c>
      <c r="J35" s="10" t="s">
        <v>880</v>
      </c>
      <c r="K35" s="10" t="s">
        <v>880</v>
      </c>
      <c r="L35" s="10" t="s">
        <v>880</v>
      </c>
      <c r="M35" s="10" t="s">
        <v>880</v>
      </c>
      <c r="N35" s="10" t="s">
        <v>880</v>
      </c>
      <c r="O35" s="10" t="s">
        <v>880</v>
      </c>
      <c r="P35" s="10" t="s">
        <v>880</v>
      </c>
      <c r="Q35">
        <v>72</v>
      </c>
    </row>
    <row r="36" spans="1:26" s="12" customFormat="1" x14ac:dyDescent="0.25">
      <c r="A36" s="19" t="s">
        <v>71</v>
      </c>
      <c r="B36" s="20" t="s">
        <v>880</v>
      </c>
      <c r="C36" s="20" t="s">
        <v>880</v>
      </c>
      <c r="D36" s="20" t="s">
        <v>880</v>
      </c>
      <c r="E36" s="20" t="s">
        <v>880</v>
      </c>
      <c r="F36" s="20" t="s">
        <v>880</v>
      </c>
      <c r="G36" s="20" t="s">
        <v>880</v>
      </c>
      <c r="H36" s="20" t="s">
        <v>880</v>
      </c>
      <c r="I36" s="20" t="s">
        <v>880</v>
      </c>
      <c r="J36" s="20" t="s">
        <v>882</v>
      </c>
      <c r="K36" s="20" t="s">
        <v>883</v>
      </c>
      <c r="L36" s="20" t="s">
        <v>883</v>
      </c>
      <c r="M36" s="20" t="s">
        <v>884</v>
      </c>
      <c r="N36" s="20" t="s">
        <v>880</v>
      </c>
      <c r="O36" s="20" t="s">
        <v>880</v>
      </c>
      <c r="P36" s="20" t="s">
        <v>880</v>
      </c>
      <c r="Q36" s="12">
        <v>87</v>
      </c>
    </row>
    <row r="37" spans="1:26" s="12" customFormat="1" x14ac:dyDescent="0.25">
      <c r="A37" s="21" t="s">
        <v>153</v>
      </c>
      <c r="B37" s="21" t="s">
        <v>885</v>
      </c>
      <c r="C37" s="21" t="s">
        <v>885</v>
      </c>
      <c r="D37" s="21" t="s">
        <v>885</v>
      </c>
      <c r="E37" s="21" t="s">
        <v>885</v>
      </c>
      <c r="F37" s="21" t="s">
        <v>885</v>
      </c>
      <c r="G37" s="21" t="s">
        <v>886</v>
      </c>
      <c r="H37" s="21" t="s">
        <v>886</v>
      </c>
      <c r="I37" s="21" t="s">
        <v>886</v>
      </c>
      <c r="J37" s="21" t="s">
        <v>887</v>
      </c>
      <c r="K37" s="22" t="s">
        <v>887</v>
      </c>
      <c r="L37" s="21" t="s">
        <v>887</v>
      </c>
      <c r="M37" s="21" t="s">
        <v>887</v>
      </c>
      <c r="N37" s="21" t="s">
        <v>886</v>
      </c>
      <c r="O37" s="21" t="s">
        <v>886</v>
      </c>
      <c r="P37" s="21" t="s">
        <v>886</v>
      </c>
      <c r="Q37" s="13">
        <v>155</v>
      </c>
      <c r="R37" s="13"/>
      <c r="S37" s="13"/>
      <c r="T37" s="13"/>
      <c r="U37" s="13"/>
      <c r="V37" s="13"/>
      <c r="W37" s="13"/>
      <c r="X37" s="13"/>
      <c r="Y37" s="13"/>
      <c r="Z37" s="13"/>
    </row>
    <row r="38" spans="1:26" s="12" customFormat="1" x14ac:dyDescent="0.25">
      <c r="A38" s="19" t="s">
        <v>168</v>
      </c>
      <c r="B38" s="20" t="s">
        <v>888</v>
      </c>
      <c r="C38" s="20" t="s">
        <v>888</v>
      </c>
      <c r="D38" s="20" t="s">
        <v>888</v>
      </c>
      <c r="E38" s="20" t="s">
        <v>888</v>
      </c>
      <c r="F38" s="20" t="s">
        <v>888</v>
      </c>
      <c r="G38" s="20" t="s">
        <v>889</v>
      </c>
      <c r="H38" s="20" t="s">
        <v>889</v>
      </c>
      <c r="I38" s="20" t="s">
        <v>889</v>
      </c>
      <c r="J38" s="20" t="s">
        <v>889</v>
      </c>
      <c r="K38" s="20" t="s">
        <v>889</v>
      </c>
      <c r="L38" s="20" t="s">
        <v>889</v>
      </c>
      <c r="M38" s="20" t="s">
        <v>889</v>
      </c>
      <c r="N38" s="20" t="s">
        <v>889</v>
      </c>
      <c r="O38" s="20" t="s">
        <v>889</v>
      </c>
      <c r="P38" s="20" t="s">
        <v>889</v>
      </c>
      <c r="Q38" s="12">
        <v>145</v>
      </c>
    </row>
    <row r="39" spans="1:26" x14ac:dyDescent="0.25">
      <c r="A39" s="16" t="s">
        <v>165</v>
      </c>
      <c r="B39" s="18" t="s">
        <v>180</v>
      </c>
      <c r="C39" s="18" t="s">
        <v>214</v>
      </c>
      <c r="D39" s="18" t="s">
        <v>956</v>
      </c>
      <c r="E39" s="18" t="s">
        <v>626</v>
      </c>
      <c r="F39" s="18" t="s">
        <v>215</v>
      </c>
      <c r="G39" s="18" t="s">
        <v>167</v>
      </c>
      <c r="H39" s="18" t="s">
        <v>166</v>
      </c>
      <c r="I39" s="18" t="s">
        <v>999</v>
      </c>
      <c r="J39" s="18" t="s">
        <v>1104</v>
      </c>
      <c r="K39" s="18" t="s">
        <v>166</v>
      </c>
      <c r="L39" s="18" t="s">
        <v>743</v>
      </c>
      <c r="M39" s="18" t="s">
        <v>166</v>
      </c>
      <c r="N39" s="18" t="s">
        <v>217</v>
      </c>
      <c r="O39" s="18" t="s">
        <v>218</v>
      </c>
      <c r="P39" s="18" t="s">
        <v>216</v>
      </c>
      <c r="Q39" t="s">
        <v>219</v>
      </c>
    </row>
    <row r="40" spans="1:26" x14ac:dyDescent="0.25">
      <c r="A40" s="16" t="s">
        <v>63</v>
      </c>
      <c r="B40" s="16" t="s">
        <v>567</v>
      </c>
      <c r="C40" s="16" t="s">
        <v>568</v>
      </c>
      <c r="D40" s="16" t="s">
        <v>569</v>
      </c>
      <c r="E40" s="16" t="s">
        <v>570</v>
      </c>
      <c r="F40" s="16" t="s">
        <v>571</v>
      </c>
      <c r="G40" s="16" t="s">
        <v>572</v>
      </c>
      <c r="H40" s="16" t="s">
        <v>572</v>
      </c>
      <c r="I40" s="16" t="s">
        <v>896</v>
      </c>
      <c r="J40" s="18" t="s">
        <v>573</v>
      </c>
      <c r="K40" s="16" t="s">
        <v>572</v>
      </c>
      <c r="L40" s="16" t="s">
        <v>744</v>
      </c>
      <c r="M40" s="16" t="s">
        <v>572</v>
      </c>
      <c r="N40" s="16" t="s">
        <v>567</v>
      </c>
      <c r="O40" s="16" t="s">
        <v>568</v>
      </c>
      <c r="P40" s="16" t="s">
        <v>569</v>
      </c>
      <c r="Q40" t="s">
        <v>571</v>
      </c>
    </row>
    <row r="41" spans="1:26" x14ac:dyDescent="0.25">
      <c r="A41" s="16" t="s">
        <v>72</v>
      </c>
      <c r="B41" s="18" t="s">
        <v>567</v>
      </c>
      <c r="C41" s="18" t="s">
        <v>568</v>
      </c>
      <c r="D41" s="18" t="s">
        <v>569</v>
      </c>
      <c r="E41" s="18" t="s">
        <v>570</v>
      </c>
      <c r="F41" s="18" t="s">
        <v>571</v>
      </c>
      <c r="G41" s="18" t="s">
        <v>575</v>
      </c>
      <c r="H41" s="18" t="s">
        <v>575</v>
      </c>
      <c r="I41" s="18" t="s">
        <v>957</v>
      </c>
      <c r="J41" s="18" t="s">
        <v>1105</v>
      </c>
      <c r="K41" s="18" t="s">
        <v>572</v>
      </c>
      <c r="L41" s="18" t="s">
        <v>574</v>
      </c>
      <c r="M41" s="18" t="s">
        <v>575</v>
      </c>
      <c r="N41" s="18" t="s">
        <v>813</v>
      </c>
      <c r="O41" s="18" t="s">
        <v>814</v>
      </c>
      <c r="P41" s="18" t="s">
        <v>815</v>
      </c>
      <c r="Q41" t="s">
        <v>816</v>
      </c>
    </row>
    <row r="42" spans="1:26" x14ac:dyDescent="0.25">
      <c r="A42" s="16" t="s">
        <v>79</v>
      </c>
      <c r="B42" s="18" t="s">
        <v>501</v>
      </c>
      <c r="C42" s="18" t="s">
        <v>890</v>
      </c>
      <c r="D42" s="18" t="s">
        <v>501</v>
      </c>
      <c r="E42" s="18" t="s">
        <v>497</v>
      </c>
      <c r="F42" s="18" t="s">
        <v>501</v>
      </c>
      <c r="G42" s="18" t="s">
        <v>501</v>
      </c>
      <c r="H42" s="18" t="s">
        <v>891</v>
      </c>
      <c r="I42" s="18" t="s">
        <v>890</v>
      </c>
      <c r="J42" s="18" t="s">
        <v>497</v>
      </c>
      <c r="K42" s="18" t="s">
        <v>892</v>
      </c>
      <c r="L42" s="18" t="s">
        <v>892</v>
      </c>
      <c r="M42" s="18" t="s">
        <v>891</v>
      </c>
      <c r="N42" s="18" t="s">
        <v>891</v>
      </c>
      <c r="O42" s="18" t="s">
        <v>891</v>
      </c>
      <c r="P42" s="18" t="s">
        <v>891</v>
      </c>
      <c r="Q42">
        <v>18</v>
      </c>
    </row>
    <row r="43" spans="1:26" x14ac:dyDescent="0.25">
      <c r="A43" s="16" t="s">
        <v>82</v>
      </c>
      <c r="B43" s="10" t="s">
        <v>496</v>
      </c>
      <c r="C43" s="10" t="s">
        <v>497</v>
      </c>
      <c r="D43" s="10" t="s">
        <v>502</v>
      </c>
      <c r="E43" s="10" t="s">
        <v>497</v>
      </c>
      <c r="F43" s="10" t="s">
        <v>502</v>
      </c>
      <c r="G43" s="10" t="s">
        <v>502</v>
      </c>
      <c r="H43" s="10" t="s">
        <v>502</v>
      </c>
      <c r="I43" s="10" t="s">
        <v>497</v>
      </c>
      <c r="J43" s="10" t="s">
        <v>501</v>
      </c>
      <c r="K43" s="10" t="s">
        <v>713</v>
      </c>
      <c r="L43" s="10" t="s">
        <v>713</v>
      </c>
      <c r="M43" s="10" t="s">
        <v>499</v>
      </c>
      <c r="N43" s="10" t="s">
        <v>502</v>
      </c>
      <c r="O43" s="10" t="s">
        <v>502</v>
      </c>
      <c r="P43" s="10" t="s">
        <v>502</v>
      </c>
      <c r="Q43">
        <v>8</v>
      </c>
    </row>
    <row r="44" spans="1:26" x14ac:dyDescent="0.25">
      <c r="A44" s="16" t="s">
        <v>80</v>
      </c>
      <c r="B44" s="10" t="s">
        <v>496</v>
      </c>
      <c r="C44" s="10" t="s">
        <v>497</v>
      </c>
      <c r="D44" s="10" t="s">
        <v>496</v>
      </c>
      <c r="E44" s="10" t="s">
        <v>496</v>
      </c>
      <c r="F44" s="10" t="s">
        <v>496</v>
      </c>
      <c r="G44" s="10" t="s">
        <v>497</v>
      </c>
      <c r="H44" s="10" t="s">
        <v>497</v>
      </c>
      <c r="I44" s="10" t="s">
        <v>497</v>
      </c>
      <c r="J44" s="10" t="s">
        <v>496</v>
      </c>
      <c r="K44" s="10" t="s">
        <v>498</v>
      </c>
      <c r="L44" s="10" t="s">
        <v>498</v>
      </c>
      <c r="M44" s="10" t="s">
        <v>499</v>
      </c>
      <c r="N44" s="10" t="s">
        <v>497</v>
      </c>
      <c r="O44" s="10" t="s">
        <v>497</v>
      </c>
      <c r="P44" s="10" t="s">
        <v>497</v>
      </c>
      <c r="Q44">
        <v>8</v>
      </c>
    </row>
    <row r="45" spans="1:26" x14ac:dyDescent="0.25">
      <c r="A45" s="16" t="s">
        <v>81</v>
      </c>
      <c r="B45" s="10" t="s">
        <v>500</v>
      </c>
      <c r="C45" s="10" t="s">
        <v>496</v>
      </c>
      <c r="D45" s="10" t="s">
        <v>500</v>
      </c>
      <c r="E45" s="10" t="s">
        <v>500</v>
      </c>
      <c r="F45" s="10" t="s">
        <v>500</v>
      </c>
      <c r="G45" s="10" t="s">
        <v>500</v>
      </c>
      <c r="H45" s="10" t="s">
        <v>500</v>
      </c>
      <c r="I45" s="10" t="s">
        <v>500</v>
      </c>
      <c r="J45" s="10" t="s">
        <v>496</v>
      </c>
      <c r="K45" s="10" t="s">
        <v>501</v>
      </c>
      <c r="L45" s="10" t="s">
        <v>501</v>
      </c>
      <c r="M45" s="10" t="s">
        <v>502</v>
      </c>
      <c r="N45" s="10" t="s">
        <v>500</v>
      </c>
      <c r="O45" s="10" t="s">
        <v>500</v>
      </c>
      <c r="P45" s="10" t="s">
        <v>500</v>
      </c>
      <c r="Q45">
        <v>3</v>
      </c>
    </row>
    <row r="46" spans="1:26" x14ac:dyDescent="0.25">
      <c r="A46" s="16" t="s">
        <v>581</v>
      </c>
      <c r="B46" s="10" t="s">
        <v>628</v>
      </c>
      <c r="C46" s="10" t="s">
        <v>628</v>
      </c>
      <c r="D46" s="10" t="s">
        <v>585</v>
      </c>
      <c r="E46" s="10" t="s">
        <v>979</v>
      </c>
      <c r="F46" s="10" t="s">
        <v>585</v>
      </c>
      <c r="G46" s="10" t="s">
        <v>981</v>
      </c>
      <c r="H46" s="10" t="s">
        <v>582</v>
      </c>
      <c r="I46" s="16" t="s">
        <v>587</v>
      </c>
      <c r="J46" s="10" t="s">
        <v>631</v>
      </c>
      <c r="K46" s="10" t="s">
        <v>1021</v>
      </c>
      <c r="L46" s="10" t="s">
        <v>745</v>
      </c>
      <c r="M46" s="10" t="s">
        <v>583</v>
      </c>
      <c r="N46" s="10" t="s">
        <v>582</v>
      </c>
      <c r="O46" s="10" t="s">
        <v>582</v>
      </c>
      <c r="P46" s="10" t="s">
        <v>922</v>
      </c>
      <c r="Q46" t="s">
        <v>583</v>
      </c>
    </row>
    <row r="47" spans="1:26" x14ac:dyDescent="0.25">
      <c r="A47" s="16" t="s">
        <v>584</v>
      </c>
      <c r="B47" s="10" t="s">
        <v>629</v>
      </c>
      <c r="C47" s="10" t="s">
        <v>629</v>
      </c>
      <c r="D47" s="10" t="s">
        <v>220</v>
      </c>
      <c r="E47" s="10" t="s">
        <v>980</v>
      </c>
      <c r="F47" s="10" t="s">
        <v>220</v>
      </c>
      <c r="G47" s="10" t="s">
        <v>982</v>
      </c>
      <c r="H47" s="10" t="s">
        <v>586</v>
      </c>
      <c r="I47" s="16" t="s">
        <v>630</v>
      </c>
      <c r="J47" s="10" t="s">
        <v>983</v>
      </c>
      <c r="K47" s="10" t="s">
        <v>1020</v>
      </c>
      <c r="L47" s="10" t="s">
        <v>742</v>
      </c>
      <c r="M47" s="10" t="s">
        <v>588</v>
      </c>
      <c r="N47" s="10" t="s">
        <v>586</v>
      </c>
      <c r="O47" s="10" t="s">
        <v>586</v>
      </c>
      <c r="P47" s="10" t="s">
        <v>923</v>
      </c>
      <c r="Q47" t="s">
        <v>588</v>
      </c>
    </row>
    <row r="48" spans="1:26" x14ac:dyDescent="0.25">
      <c r="A48" s="16" t="s">
        <v>76</v>
      </c>
      <c r="B48" s="16" t="s">
        <v>220</v>
      </c>
      <c r="C48" s="16" t="s">
        <v>220</v>
      </c>
      <c r="D48" s="16" t="s">
        <v>220</v>
      </c>
      <c r="E48" s="16" t="s">
        <v>662</v>
      </c>
      <c r="F48" s="16" t="s">
        <v>220</v>
      </c>
      <c r="G48" s="16" t="s">
        <v>171</v>
      </c>
      <c r="H48" s="16" t="s">
        <v>227</v>
      </c>
      <c r="I48" s="16" t="s">
        <v>234</v>
      </c>
      <c r="J48" s="16" t="s">
        <v>229</v>
      </c>
      <c r="K48" s="10" t="s">
        <v>1022</v>
      </c>
      <c r="L48" s="10" t="s">
        <v>746</v>
      </c>
      <c r="M48" s="10" t="s">
        <v>89</v>
      </c>
      <c r="N48" s="10" t="s">
        <v>227</v>
      </c>
      <c r="O48" s="10" t="s">
        <v>227</v>
      </c>
      <c r="P48" s="10" t="s">
        <v>227</v>
      </c>
      <c r="Q48" t="s">
        <v>89</v>
      </c>
    </row>
    <row r="49" spans="1:17" x14ac:dyDescent="0.25">
      <c r="A49" s="16" t="s">
        <v>100</v>
      </c>
      <c r="B49" s="16" t="s">
        <v>220</v>
      </c>
      <c r="C49" s="16" t="s">
        <v>220</v>
      </c>
      <c r="D49" s="16" t="s">
        <v>220</v>
      </c>
      <c r="E49" s="16" t="s">
        <v>662</v>
      </c>
      <c r="F49" s="16" t="s">
        <v>220</v>
      </c>
      <c r="G49" s="16" t="s">
        <v>171</v>
      </c>
      <c r="H49" s="16" t="s">
        <v>227</v>
      </c>
      <c r="I49" s="16" t="s">
        <v>234</v>
      </c>
      <c r="J49" s="16" t="s">
        <v>229</v>
      </c>
      <c r="K49" s="10" t="s">
        <v>1022</v>
      </c>
      <c r="L49" s="10" t="s">
        <v>746</v>
      </c>
      <c r="M49" s="10" t="s">
        <v>89</v>
      </c>
      <c r="N49" s="10" t="s">
        <v>227</v>
      </c>
      <c r="O49" s="10" t="s">
        <v>227</v>
      </c>
      <c r="P49" s="10" t="s">
        <v>227</v>
      </c>
      <c r="Q49" t="s">
        <v>89</v>
      </c>
    </row>
    <row r="50" spans="1:17" x14ac:dyDescent="0.25">
      <c r="A50" s="16" t="s">
        <v>75</v>
      </c>
      <c r="B50" s="16" t="s">
        <v>144</v>
      </c>
      <c r="C50" s="16" t="s">
        <v>144</v>
      </c>
      <c r="D50" s="16" t="s">
        <v>144</v>
      </c>
      <c r="E50" s="16" t="s">
        <v>661</v>
      </c>
      <c r="F50" s="16" t="s">
        <v>144</v>
      </c>
      <c r="G50" s="16" t="s">
        <v>172</v>
      </c>
      <c r="H50" s="16" t="s">
        <v>226</v>
      </c>
      <c r="I50" s="16" t="s">
        <v>233</v>
      </c>
      <c r="J50" s="16" t="s">
        <v>230</v>
      </c>
      <c r="K50" s="10" t="s">
        <v>1023</v>
      </c>
      <c r="L50" s="10" t="s">
        <v>747</v>
      </c>
      <c r="M50" s="10" t="s">
        <v>90</v>
      </c>
      <c r="N50" s="10" t="s">
        <v>226</v>
      </c>
      <c r="O50" s="10" t="s">
        <v>226</v>
      </c>
      <c r="P50" s="10" t="s">
        <v>226</v>
      </c>
      <c r="Q50" t="s">
        <v>90</v>
      </c>
    </row>
    <row r="51" spans="1:17" x14ac:dyDescent="0.25">
      <c r="A51" s="16" t="s">
        <v>88</v>
      </c>
      <c r="B51" s="16" t="s">
        <v>144</v>
      </c>
      <c r="C51" s="16" t="s">
        <v>144</v>
      </c>
      <c r="D51" s="16" t="s">
        <v>144</v>
      </c>
      <c r="E51" s="16" t="s">
        <v>661</v>
      </c>
      <c r="F51" s="16" t="s">
        <v>144</v>
      </c>
      <c r="G51" s="16" t="s">
        <v>172</v>
      </c>
      <c r="H51" s="16" t="s">
        <v>226</v>
      </c>
      <c r="I51" s="16" t="s">
        <v>233</v>
      </c>
      <c r="J51" s="16" t="s">
        <v>230</v>
      </c>
      <c r="K51" s="10" t="s">
        <v>1023</v>
      </c>
      <c r="L51" s="10" t="s">
        <v>747</v>
      </c>
      <c r="M51" s="10" t="s">
        <v>90</v>
      </c>
      <c r="N51" s="10" t="s">
        <v>226</v>
      </c>
      <c r="O51" s="10" t="s">
        <v>226</v>
      </c>
      <c r="P51" s="10" t="s">
        <v>226</v>
      </c>
      <c r="Q51" t="s">
        <v>90</v>
      </c>
    </row>
    <row r="52" spans="1:17" s="1" customFormat="1" x14ac:dyDescent="0.25">
      <c r="A52" s="16" t="s">
        <v>86</v>
      </c>
      <c r="B52" s="16" t="s">
        <v>145</v>
      </c>
      <c r="C52" s="16" t="s">
        <v>145</v>
      </c>
      <c r="D52" s="16" t="s">
        <v>633</v>
      </c>
      <c r="E52" s="16" t="s">
        <v>483</v>
      </c>
      <c r="F52" s="16" t="s">
        <v>639</v>
      </c>
      <c r="G52" s="16" t="s">
        <v>643</v>
      </c>
      <c r="H52" s="16" t="s">
        <v>646</v>
      </c>
      <c r="I52" s="16" t="s">
        <v>666</v>
      </c>
      <c r="J52" s="16" t="s">
        <v>655</v>
      </c>
      <c r="K52" s="16" t="s">
        <v>1024</v>
      </c>
      <c r="L52" s="16" t="s">
        <v>748</v>
      </c>
      <c r="M52" s="16" t="s">
        <v>91</v>
      </c>
      <c r="N52" s="16" t="s">
        <v>646</v>
      </c>
      <c r="O52" s="16" t="s">
        <v>646</v>
      </c>
      <c r="P52" s="16" t="s">
        <v>646</v>
      </c>
      <c r="Q52" s="1" t="s">
        <v>91</v>
      </c>
    </row>
    <row r="53" spans="1:17" x14ac:dyDescent="0.25">
      <c r="A53" s="16" t="s">
        <v>83</v>
      </c>
      <c r="B53" s="16" t="s">
        <v>141</v>
      </c>
      <c r="C53" s="16" t="s">
        <v>141</v>
      </c>
      <c r="D53" s="16" t="s">
        <v>145</v>
      </c>
      <c r="E53" s="16" t="s">
        <v>635</v>
      </c>
      <c r="F53" s="16" t="s">
        <v>633</v>
      </c>
      <c r="G53" s="16" t="s">
        <v>641</v>
      </c>
      <c r="H53" s="16" t="s">
        <v>224</v>
      </c>
      <c r="I53" s="16" t="s">
        <v>664</v>
      </c>
      <c r="J53" s="16" t="s">
        <v>653</v>
      </c>
      <c r="K53" s="10" t="s">
        <v>1025</v>
      </c>
      <c r="L53" s="10" t="s">
        <v>749</v>
      </c>
      <c r="M53" s="10" t="s">
        <v>92</v>
      </c>
      <c r="N53" s="10" t="s">
        <v>224</v>
      </c>
      <c r="O53" s="10" t="s">
        <v>224</v>
      </c>
      <c r="P53" s="10" t="s">
        <v>224</v>
      </c>
      <c r="Q53" t="s">
        <v>92</v>
      </c>
    </row>
    <row r="54" spans="1:17" x14ac:dyDescent="0.25">
      <c r="A54" s="16" t="s">
        <v>84</v>
      </c>
      <c r="B54" s="16" t="s">
        <v>142</v>
      </c>
      <c r="C54" s="16" t="s">
        <v>142</v>
      </c>
      <c r="D54" s="16" t="s">
        <v>632</v>
      </c>
      <c r="E54" s="16" t="s">
        <v>660</v>
      </c>
      <c r="F54" s="16" t="s">
        <v>141</v>
      </c>
      <c r="G54" s="16" t="s">
        <v>642</v>
      </c>
      <c r="H54" s="16" t="s">
        <v>645</v>
      </c>
      <c r="I54" s="16" t="s">
        <v>665</v>
      </c>
      <c r="J54" s="16" t="s">
        <v>654</v>
      </c>
      <c r="K54" s="10" t="s">
        <v>1026</v>
      </c>
      <c r="L54" s="10" t="s">
        <v>750</v>
      </c>
      <c r="M54" s="10" t="s">
        <v>93</v>
      </c>
      <c r="N54" s="10" t="s">
        <v>645</v>
      </c>
      <c r="O54" s="10" t="s">
        <v>645</v>
      </c>
      <c r="P54" s="10" t="s">
        <v>645</v>
      </c>
      <c r="Q54" t="s">
        <v>93</v>
      </c>
    </row>
    <row r="55" spans="1:17" s="1" customFormat="1" x14ac:dyDescent="0.25">
      <c r="A55" s="16" t="s">
        <v>78</v>
      </c>
      <c r="B55" s="16" t="s">
        <v>148</v>
      </c>
      <c r="C55" s="16" t="s">
        <v>148</v>
      </c>
      <c r="D55" s="16" t="s">
        <v>148</v>
      </c>
      <c r="E55" s="16" t="s">
        <v>637</v>
      </c>
      <c r="F55" s="16" t="s">
        <v>141</v>
      </c>
      <c r="G55" s="16" t="s">
        <v>173</v>
      </c>
      <c r="H55" s="16" t="s">
        <v>650</v>
      </c>
      <c r="I55" s="16" t="s">
        <v>668</v>
      </c>
      <c r="J55" s="16" t="s">
        <v>657</v>
      </c>
      <c r="K55" s="16" t="s">
        <v>1027</v>
      </c>
      <c r="L55" s="16" t="s">
        <v>751</v>
      </c>
      <c r="M55" s="16" t="s">
        <v>94</v>
      </c>
      <c r="N55" s="16" t="s">
        <v>650</v>
      </c>
      <c r="O55" s="16" t="s">
        <v>650</v>
      </c>
      <c r="P55" s="16" t="s">
        <v>650</v>
      </c>
      <c r="Q55" s="1" t="s">
        <v>94</v>
      </c>
    </row>
    <row r="56" spans="1:17" x14ac:dyDescent="0.25">
      <c r="A56" s="16" t="s">
        <v>73</v>
      </c>
      <c r="B56" s="16" t="s">
        <v>147</v>
      </c>
      <c r="C56" s="16" t="s">
        <v>147</v>
      </c>
      <c r="D56" s="16" t="s">
        <v>147</v>
      </c>
      <c r="E56" s="16" t="s">
        <v>636</v>
      </c>
      <c r="F56" s="16" t="s">
        <v>142</v>
      </c>
      <c r="G56" s="16" t="s">
        <v>174</v>
      </c>
      <c r="H56" s="16" t="s">
        <v>648</v>
      </c>
      <c r="I56" s="16" t="s">
        <v>232</v>
      </c>
      <c r="J56" s="16" t="s">
        <v>654</v>
      </c>
      <c r="K56" s="10" t="s">
        <v>1028</v>
      </c>
      <c r="L56" s="10" t="s">
        <v>752</v>
      </c>
      <c r="M56" s="10" t="s">
        <v>95</v>
      </c>
      <c r="N56" s="10" t="s">
        <v>648</v>
      </c>
      <c r="O56" s="10" t="s">
        <v>648</v>
      </c>
      <c r="P56" s="10" t="s">
        <v>648</v>
      </c>
      <c r="Q56" t="s">
        <v>95</v>
      </c>
    </row>
    <row r="57" spans="1:17" x14ac:dyDescent="0.25">
      <c r="A57" s="16" t="s">
        <v>74</v>
      </c>
      <c r="B57" s="16" t="s">
        <v>149</v>
      </c>
      <c r="C57" s="16" t="s">
        <v>149</v>
      </c>
      <c r="D57" s="16" t="s">
        <v>149</v>
      </c>
      <c r="E57" s="16" t="s">
        <v>663</v>
      </c>
      <c r="F57" s="16" t="s">
        <v>148</v>
      </c>
      <c r="G57" s="16" t="s">
        <v>175</v>
      </c>
      <c r="H57" s="16" t="s">
        <v>225</v>
      </c>
      <c r="I57" s="16" t="s">
        <v>231</v>
      </c>
      <c r="J57" s="16" t="s">
        <v>656</v>
      </c>
      <c r="K57" s="10" t="s">
        <v>1029</v>
      </c>
      <c r="L57" s="10" t="s">
        <v>753</v>
      </c>
      <c r="M57" s="10" t="s">
        <v>96</v>
      </c>
      <c r="N57" s="10" t="s">
        <v>225</v>
      </c>
      <c r="O57" s="10" t="s">
        <v>225</v>
      </c>
      <c r="P57" s="10" t="s">
        <v>225</v>
      </c>
      <c r="Q57" t="s">
        <v>96</v>
      </c>
    </row>
    <row r="58" spans="1:17" x14ac:dyDescent="0.25">
      <c r="A58" s="16" t="s">
        <v>87</v>
      </c>
      <c r="B58" s="16" t="s">
        <v>146</v>
      </c>
      <c r="C58" s="16" t="s">
        <v>146</v>
      </c>
      <c r="D58" s="16" t="s">
        <v>634</v>
      </c>
      <c r="E58" s="16" t="s">
        <v>636</v>
      </c>
      <c r="F58" s="16" t="s">
        <v>148</v>
      </c>
      <c r="G58" s="16" t="s">
        <v>175</v>
      </c>
      <c r="H58" s="16" t="s">
        <v>647</v>
      </c>
      <c r="I58" s="16" t="s">
        <v>667</v>
      </c>
      <c r="J58" s="16" t="s">
        <v>654</v>
      </c>
      <c r="K58" s="10" t="s">
        <v>1029</v>
      </c>
      <c r="L58" s="10" t="s">
        <v>753</v>
      </c>
      <c r="M58" s="10" t="s">
        <v>97</v>
      </c>
      <c r="N58" s="10" t="s">
        <v>647</v>
      </c>
      <c r="O58" s="10" t="s">
        <v>647</v>
      </c>
      <c r="P58" s="10" t="s">
        <v>647</v>
      </c>
      <c r="Q58" t="s">
        <v>97</v>
      </c>
    </row>
    <row r="59" spans="1:17" s="1" customFormat="1" x14ac:dyDescent="0.25">
      <c r="A59" s="16" t="s">
        <v>77</v>
      </c>
      <c r="B59" s="16" t="s">
        <v>150</v>
      </c>
      <c r="C59" s="16" t="s">
        <v>150</v>
      </c>
      <c r="D59" s="16" t="s">
        <v>150</v>
      </c>
      <c r="E59" s="16" t="s">
        <v>484</v>
      </c>
      <c r="F59" s="16" t="s">
        <v>640</v>
      </c>
      <c r="G59" s="16" t="s">
        <v>644</v>
      </c>
      <c r="H59" s="16" t="s">
        <v>649</v>
      </c>
      <c r="I59" s="16" t="s">
        <v>235</v>
      </c>
      <c r="J59" s="16" t="s">
        <v>659</v>
      </c>
      <c r="K59" s="16" t="s">
        <v>1030</v>
      </c>
      <c r="L59" s="16" t="s">
        <v>754</v>
      </c>
      <c r="M59" s="16" t="s">
        <v>98</v>
      </c>
      <c r="N59" s="16" t="s">
        <v>649</v>
      </c>
      <c r="O59" s="16" t="s">
        <v>649</v>
      </c>
      <c r="P59" s="16" t="s">
        <v>649</v>
      </c>
      <c r="Q59" s="1" t="s">
        <v>98</v>
      </c>
    </row>
    <row r="60" spans="1:17" x14ac:dyDescent="0.25">
      <c r="A60" s="16" t="s">
        <v>85</v>
      </c>
      <c r="B60" s="10" t="s">
        <v>143</v>
      </c>
      <c r="C60" s="10" t="s">
        <v>143</v>
      </c>
      <c r="D60" s="10" t="s">
        <v>143</v>
      </c>
      <c r="E60" s="10" t="s">
        <v>638</v>
      </c>
      <c r="F60" s="10" t="s">
        <v>652</v>
      </c>
      <c r="G60" s="10" t="s">
        <v>651</v>
      </c>
      <c r="H60" s="10" t="s">
        <v>228</v>
      </c>
      <c r="I60" s="10" t="s">
        <v>669</v>
      </c>
      <c r="J60" s="10" t="s">
        <v>658</v>
      </c>
      <c r="K60" s="10" t="s">
        <v>1031</v>
      </c>
      <c r="L60" s="10" t="s">
        <v>755</v>
      </c>
      <c r="M60" s="10" t="s">
        <v>99</v>
      </c>
      <c r="N60" s="10" t="s">
        <v>228</v>
      </c>
      <c r="O60" s="10" t="s">
        <v>228</v>
      </c>
      <c r="P60" s="10" t="s">
        <v>228</v>
      </c>
      <c r="Q60" t="s">
        <v>819</v>
      </c>
    </row>
    <row r="61" spans="1:17" x14ac:dyDescent="0.25">
      <c r="A61" s="16" t="s">
        <v>101</v>
      </c>
      <c r="B61" s="10" t="s">
        <v>102</v>
      </c>
      <c r="C61" s="10" t="s">
        <v>192</v>
      </c>
      <c r="D61" s="10" t="s">
        <v>193</v>
      </c>
      <c r="E61" s="10" t="s">
        <v>281</v>
      </c>
      <c r="F61" s="10" t="s">
        <v>194</v>
      </c>
      <c r="G61" s="10" t="s">
        <v>699</v>
      </c>
      <c r="H61" s="10" t="s">
        <v>195</v>
      </c>
      <c r="I61" s="10" t="s">
        <v>196</v>
      </c>
      <c r="J61" s="10" t="s">
        <v>197</v>
      </c>
      <c r="K61" s="10" t="s">
        <v>1032</v>
      </c>
      <c r="L61" s="10" t="s">
        <v>198</v>
      </c>
      <c r="M61" s="10" t="s">
        <v>700</v>
      </c>
      <c r="N61" s="10" t="s">
        <v>199</v>
      </c>
      <c r="O61" s="10" t="s">
        <v>200</v>
      </c>
      <c r="P61" s="10" t="s">
        <v>201</v>
      </c>
      <c r="Q61" t="s">
        <v>202</v>
      </c>
    </row>
    <row r="62" spans="1:17" x14ac:dyDescent="0.25">
      <c r="A62" s="16" t="s">
        <v>103</v>
      </c>
      <c r="B62" s="10" t="s">
        <v>134</v>
      </c>
      <c r="C62" s="10" t="s">
        <v>1047</v>
      </c>
      <c r="D62" s="10" t="s">
        <v>275</v>
      </c>
      <c r="E62" s="10" t="s">
        <v>282</v>
      </c>
      <c r="F62" s="10" t="s">
        <v>836</v>
      </c>
      <c r="G62" s="10" t="s">
        <v>177</v>
      </c>
      <c r="H62" s="10" t="s">
        <v>262</v>
      </c>
      <c r="I62" s="10" t="s">
        <v>294</v>
      </c>
      <c r="J62" s="10" t="s">
        <v>303</v>
      </c>
      <c r="K62" s="10" t="s">
        <v>1033</v>
      </c>
      <c r="L62" s="10" t="s">
        <v>312</v>
      </c>
      <c r="M62" s="10" t="s">
        <v>106</v>
      </c>
      <c r="N62" s="10" t="s">
        <v>321</v>
      </c>
      <c r="O62" s="10" t="s">
        <v>319</v>
      </c>
      <c r="P62" s="10" t="s">
        <v>320</v>
      </c>
      <c r="Q62" t="s">
        <v>106</v>
      </c>
    </row>
    <row r="63" spans="1:17" ht="15" customHeight="1" x14ac:dyDescent="0.25">
      <c r="A63" s="16" t="s">
        <v>104</v>
      </c>
      <c r="B63" s="10" t="s">
        <v>972</v>
      </c>
      <c r="C63" s="10" t="s">
        <v>973</v>
      </c>
      <c r="D63" s="10" t="s">
        <v>974</v>
      </c>
      <c r="E63" s="10" t="s">
        <v>975</v>
      </c>
      <c r="F63" s="10" t="s">
        <v>796</v>
      </c>
      <c r="G63" s="10" t="s">
        <v>237</v>
      </c>
      <c r="H63" s="10" t="s">
        <v>976</v>
      </c>
      <c r="I63" s="10" t="s">
        <v>238</v>
      </c>
      <c r="J63" s="10" t="s">
        <v>977</v>
      </c>
      <c r="K63" s="10" t="s">
        <v>1034</v>
      </c>
      <c r="L63" s="10" t="s">
        <v>239</v>
      </c>
      <c r="M63" s="10" t="s">
        <v>240</v>
      </c>
      <c r="N63" s="10" t="s">
        <v>242</v>
      </c>
      <c r="O63" s="10" t="s">
        <v>241</v>
      </c>
      <c r="P63" s="10" t="s">
        <v>924</v>
      </c>
      <c r="Q63" t="s">
        <v>1051</v>
      </c>
    </row>
    <row r="64" spans="1:17" x14ac:dyDescent="0.25">
      <c r="A64" s="16" t="s">
        <v>243</v>
      </c>
      <c r="B64" s="10" t="s">
        <v>254</v>
      </c>
      <c r="C64" s="10" t="s">
        <v>250</v>
      </c>
      <c r="D64" s="10" t="s">
        <v>251</v>
      </c>
      <c r="E64" s="10" t="s">
        <v>485</v>
      </c>
      <c r="F64" s="10" t="s">
        <v>797</v>
      </c>
      <c r="G64" s="10" t="s">
        <v>244</v>
      </c>
      <c r="H64" s="10" t="s">
        <v>245</v>
      </c>
      <c r="I64" s="10" t="s">
        <v>246</v>
      </c>
      <c r="J64" s="10" t="s">
        <v>978</v>
      </c>
      <c r="K64" s="10" t="s">
        <v>1095</v>
      </c>
      <c r="L64" s="10" t="s">
        <v>236</v>
      </c>
      <c r="M64" s="10" t="s">
        <v>247</v>
      </c>
      <c r="N64" s="10" t="s">
        <v>253</v>
      </c>
      <c r="O64" s="10" t="s">
        <v>798</v>
      </c>
      <c r="P64" s="10" t="s">
        <v>925</v>
      </c>
      <c r="Q64" t="s">
        <v>252</v>
      </c>
    </row>
    <row r="65" spans="1:17" x14ac:dyDescent="0.25">
      <c r="A65" s="16" t="s">
        <v>108</v>
      </c>
      <c r="B65" s="10" t="s">
        <v>714</v>
      </c>
      <c r="C65" s="10" t="s">
        <v>500</v>
      </c>
      <c r="D65" s="10" t="s">
        <v>429</v>
      </c>
      <c r="E65" s="10" t="s">
        <v>701</v>
      </c>
      <c r="F65" s="10" t="s">
        <v>428</v>
      </c>
      <c r="G65" s="10" t="s">
        <v>428</v>
      </c>
      <c r="H65" s="10" t="s">
        <v>496</v>
      </c>
      <c r="I65" s="10" t="s">
        <v>429</v>
      </c>
      <c r="J65" s="10" t="s">
        <v>500</v>
      </c>
      <c r="K65" s="10" t="s">
        <v>428</v>
      </c>
      <c r="L65" s="10" t="s">
        <v>428</v>
      </c>
      <c r="M65" s="10" t="s">
        <v>496</v>
      </c>
      <c r="N65" s="10" t="s">
        <v>496</v>
      </c>
      <c r="O65" s="10" t="s">
        <v>496</v>
      </c>
      <c r="P65" s="10" t="s">
        <v>496</v>
      </c>
      <c r="Q65">
        <v>2</v>
      </c>
    </row>
    <row r="66" spans="1:17" x14ac:dyDescent="0.25">
      <c r="A66" s="16" t="s">
        <v>105</v>
      </c>
      <c r="B66" s="10" t="s">
        <v>135</v>
      </c>
      <c r="C66" s="10" t="s">
        <v>248</v>
      </c>
      <c r="D66" s="10" t="s">
        <v>249</v>
      </c>
      <c r="E66" s="10" t="s">
        <v>486</v>
      </c>
      <c r="F66" s="10" t="s">
        <v>799</v>
      </c>
      <c r="G66" s="10" t="s">
        <v>998</v>
      </c>
      <c r="H66" s="10" t="s">
        <v>997</v>
      </c>
      <c r="I66" s="10" t="s">
        <v>996</v>
      </c>
      <c r="J66" s="10" t="s">
        <v>995</v>
      </c>
      <c r="K66" s="10" t="s">
        <v>1035</v>
      </c>
      <c r="L66" s="10" t="s">
        <v>756</v>
      </c>
      <c r="M66" s="10" t="s">
        <v>107</v>
      </c>
      <c r="N66" s="10" t="s">
        <v>258</v>
      </c>
      <c r="O66" s="10" t="s">
        <v>256</v>
      </c>
      <c r="P66" s="10" t="s">
        <v>926</v>
      </c>
      <c r="Q66" t="s">
        <v>820</v>
      </c>
    </row>
    <row r="67" spans="1:17" x14ac:dyDescent="0.25">
      <c r="A67" s="16" t="s">
        <v>109</v>
      </c>
      <c r="B67" s="10" t="s">
        <v>133</v>
      </c>
      <c r="C67" s="10" t="s">
        <v>772</v>
      </c>
      <c r="D67" s="10" t="s">
        <v>800</v>
      </c>
      <c r="E67" s="10" t="s">
        <v>487</v>
      </c>
      <c r="F67" s="10" t="s">
        <v>801</v>
      </c>
      <c r="G67" s="10" t="s">
        <v>176</v>
      </c>
      <c r="H67" s="10" t="s">
        <v>99</v>
      </c>
      <c r="I67" s="10" t="s">
        <v>946</v>
      </c>
      <c r="J67" s="10" t="s">
        <v>259</v>
      </c>
      <c r="K67" s="10" t="s">
        <v>1036</v>
      </c>
      <c r="L67" s="10" t="s">
        <v>757</v>
      </c>
      <c r="M67" s="10" t="s">
        <v>99</v>
      </c>
      <c r="N67" s="10" t="s">
        <v>257</v>
      </c>
      <c r="O67" s="10" t="s">
        <v>255</v>
      </c>
      <c r="P67" s="10" t="s">
        <v>927</v>
      </c>
      <c r="Q67" t="s">
        <v>819</v>
      </c>
    </row>
    <row r="68" spans="1:17" x14ac:dyDescent="0.25">
      <c r="A68" s="16" t="s">
        <v>111</v>
      </c>
      <c r="B68" s="10" t="s">
        <v>958</v>
      </c>
      <c r="C68" s="10" t="s">
        <v>947</v>
      </c>
      <c r="D68" s="10" t="s">
        <v>953</v>
      </c>
      <c r="E68" s="10" t="s">
        <v>549</v>
      </c>
      <c r="F68" s="10" t="s">
        <v>943</v>
      </c>
      <c r="G68" s="10" t="s">
        <v>110</v>
      </c>
      <c r="H68" s="10" t="s">
        <v>110</v>
      </c>
      <c r="I68" s="25" t="s">
        <v>951</v>
      </c>
      <c r="J68" s="10" t="s">
        <v>948</v>
      </c>
      <c r="K68" s="10" t="s">
        <v>110</v>
      </c>
      <c r="L68" s="10" t="s">
        <v>959</v>
      </c>
      <c r="M68" s="10" t="s">
        <v>110</v>
      </c>
      <c r="N68" s="10" t="s">
        <v>949</v>
      </c>
      <c r="O68" s="10" t="s">
        <v>947</v>
      </c>
      <c r="P68" s="10" t="s">
        <v>953</v>
      </c>
      <c r="Q68" t="s">
        <v>943</v>
      </c>
    </row>
    <row r="69" spans="1:17" x14ac:dyDescent="0.25">
      <c r="A69" s="16" t="s">
        <v>944</v>
      </c>
      <c r="B69" s="10" t="s">
        <v>960</v>
      </c>
      <c r="C69" s="10" t="s">
        <v>961</v>
      </c>
      <c r="D69" s="10" t="s">
        <v>33</v>
      </c>
      <c r="E69" s="10" t="s">
        <v>962</v>
      </c>
      <c r="F69" s="10" t="s">
        <v>963</v>
      </c>
      <c r="G69" s="10" t="s">
        <v>944</v>
      </c>
      <c r="H69" s="10" t="s">
        <v>944</v>
      </c>
      <c r="I69" s="25" t="s">
        <v>945</v>
      </c>
      <c r="J69" s="10" t="s">
        <v>33</v>
      </c>
      <c r="K69" s="10" t="s">
        <v>944</v>
      </c>
      <c r="L69" s="10" t="s">
        <v>964</v>
      </c>
      <c r="M69" s="10" t="s">
        <v>944</v>
      </c>
      <c r="N69" s="10" t="s">
        <v>960</v>
      </c>
      <c r="O69" s="10" t="s">
        <v>961</v>
      </c>
      <c r="P69" s="10" t="s">
        <v>33</v>
      </c>
      <c r="Q69" t="s">
        <v>963</v>
      </c>
    </row>
    <row r="70" spans="1:17" x14ac:dyDescent="0.25">
      <c r="A70" s="16" t="s">
        <v>112</v>
      </c>
      <c r="B70" s="10" t="s">
        <v>136</v>
      </c>
      <c r="C70" s="10" t="s">
        <v>265</v>
      </c>
      <c r="D70" s="10" t="s">
        <v>274</v>
      </c>
      <c r="E70" s="10" t="s">
        <v>283</v>
      </c>
      <c r="F70" s="10" t="s">
        <v>286</v>
      </c>
      <c r="G70" s="10" t="s">
        <v>702</v>
      </c>
      <c r="H70" s="10" t="s">
        <v>136</v>
      </c>
      <c r="I70" s="10" t="s">
        <v>928</v>
      </c>
      <c r="J70" s="10" t="s">
        <v>302</v>
      </c>
      <c r="K70" s="10" t="s">
        <v>702</v>
      </c>
      <c r="L70" s="10" t="s">
        <v>952</v>
      </c>
      <c r="M70" s="10" t="s">
        <v>702</v>
      </c>
      <c r="N70" s="10" t="s">
        <v>136</v>
      </c>
      <c r="O70" s="10" t="s">
        <v>265</v>
      </c>
      <c r="P70" s="10" t="s">
        <v>274</v>
      </c>
      <c r="Q70" t="s">
        <v>286</v>
      </c>
    </row>
    <row r="71" spans="1:17" ht="12.6" customHeight="1" x14ac:dyDescent="0.25">
      <c r="A71" s="16" t="s">
        <v>113</v>
      </c>
      <c r="B71" s="10" t="s">
        <v>137</v>
      </c>
      <c r="C71" s="10" t="s">
        <v>773</v>
      </c>
      <c r="D71" s="10" t="s">
        <v>272</v>
      </c>
      <c r="E71" s="10" t="s">
        <v>929</v>
      </c>
      <c r="F71" s="10" t="s">
        <v>897</v>
      </c>
      <c r="G71" s="10" t="s">
        <v>178</v>
      </c>
      <c r="H71" s="10" t="s">
        <v>263</v>
      </c>
      <c r="I71" s="10" t="s">
        <v>295</v>
      </c>
      <c r="J71" s="10" t="s">
        <v>1103</v>
      </c>
      <c r="K71" s="10" t="s">
        <v>1037</v>
      </c>
      <c r="L71" s="10" t="s">
        <v>930</v>
      </c>
      <c r="M71" s="10" t="s">
        <v>115</v>
      </c>
      <c r="N71" s="10" t="s">
        <v>703</v>
      </c>
      <c r="O71" s="10" t="s">
        <v>318</v>
      </c>
      <c r="P71" s="10" t="s">
        <v>788</v>
      </c>
      <c r="Q71" t="s">
        <v>900</v>
      </c>
    </row>
    <row r="72" spans="1:17" x14ac:dyDescent="0.25">
      <c r="A72" s="16" t="s">
        <v>116</v>
      </c>
      <c r="B72" s="10" t="s">
        <v>137</v>
      </c>
      <c r="C72" s="10" t="s">
        <v>266</v>
      </c>
      <c r="D72" s="10" t="s">
        <v>577</v>
      </c>
      <c r="E72" s="10" t="s">
        <v>488</v>
      </c>
      <c r="F72" s="10" t="s">
        <v>1054</v>
      </c>
      <c r="G72" s="10" t="s">
        <v>698</v>
      </c>
      <c r="H72" s="10" t="s">
        <v>264</v>
      </c>
      <c r="I72" s="10" t="s">
        <v>295</v>
      </c>
      <c r="J72" s="10" t="s">
        <v>1106</v>
      </c>
      <c r="K72" s="10" t="s">
        <v>1016</v>
      </c>
      <c r="L72" s="10" t="s">
        <v>758</v>
      </c>
      <c r="M72" s="10" t="s">
        <v>114</v>
      </c>
      <c r="N72" s="10" t="s">
        <v>579</v>
      </c>
      <c r="O72" t="s">
        <v>318</v>
      </c>
      <c r="P72" s="10" t="s">
        <v>789</v>
      </c>
      <c r="Q72" t="s">
        <v>580</v>
      </c>
    </row>
    <row r="73" spans="1:17" x14ac:dyDescent="0.25">
      <c r="A73" s="16" t="s">
        <v>120</v>
      </c>
      <c r="B73" s="10" t="s">
        <v>1055</v>
      </c>
      <c r="C73" s="10" t="s">
        <v>266</v>
      </c>
      <c r="D73" s="10" t="s">
        <v>272</v>
      </c>
      <c r="E73" s="10" t="s">
        <v>284</v>
      </c>
      <c r="F73" s="10" t="s">
        <v>1056</v>
      </c>
      <c r="G73" s="10" t="s">
        <v>178</v>
      </c>
      <c r="H73" s="10" t="s">
        <v>264</v>
      </c>
      <c r="I73" s="10" t="s">
        <v>295</v>
      </c>
      <c r="J73" s="10" t="s">
        <v>1106</v>
      </c>
      <c r="K73" s="10" t="s">
        <v>1037</v>
      </c>
      <c r="L73" s="10" t="s">
        <v>759</v>
      </c>
      <c r="M73" s="10" t="s">
        <v>121</v>
      </c>
      <c r="N73" s="10" t="s">
        <v>703</v>
      </c>
      <c r="O73" s="10" t="s">
        <v>318</v>
      </c>
      <c r="P73" s="10" t="s">
        <v>1057</v>
      </c>
      <c r="Q73" t="s">
        <v>900</v>
      </c>
    </row>
    <row r="74" spans="1:17" x14ac:dyDescent="0.25">
      <c r="A74" s="16" t="s">
        <v>117</v>
      </c>
      <c r="B74" s="10" t="s">
        <v>138</v>
      </c>
      <c r="C74" s="10" t="s">
        <v>267</v>
      </c>
      <c r="D74" s="10" t="s">
        <v>271</v>
      </c>
      <c r="E74" s="10" t="s">
        <v>489</v>
      </c>
      <c r="F74" s="10" t="s">
        <v>898</v>
      </c>
      <c r="G74" s="10" t="s">
        <v>118</v>
      </c>
      <c r="H74" s="10" t="s">
        <v>14</v>
      </c>
      <c r="I74" s="10" t="s">
        <v>207</v>
      </c>
      <c r="J74" s="10" t="s">
        <v>1107</v>
      </c>
      <c r="K74" s="10" t="s">
        <v>13</v>
      </c>
      <c r="L74" s="10" t="s">
        <v>209</v>
      </c>
      <c r="M74" s="10" t="s">
        <v>119</v>
      </c>
      <c r="N74" s="10" t="s">
        <v>211</v>
      </c>
      <c r="O74" s="10" t="s">
        <v>210</v>
      </c>
      <c r="P74" s="10" t="s">
        <v>837</v>
      </c>
      <c r="Q74" t="s">
        <v>322</v>
      </c>
    </row>
    <row r="75" spans="1:17" x14ac:dyDescent="0.25">
      <c r="A75" s="16" t="s">
        <v>122</v>
      </c>
      <c r="B75" s="10"/>
      <c r="C75" s="10"/>
      <c r="D75" s="10"/>
      <c r="E75" s="10" t="s">
        <v>490</v>
      </c>
      <c r="F75" s="10"/>
      <c r="G75" s="10"/>
      <c r="H75" s="10"/>
      <c r="I75" s="10"/>
      <c r="J75" s="10" t="s">
        <v>301</v>
      </c>
      <c r="K75" s="10" t="s">
        <v>1038</v>
      </c>
      <c r="L75" s="10" t="s">
        <v>313</v>
      </c>
      <c r="M75" s="10"/>
      <c r="N75" s="10"/>
      <c r="O75" s="10"/>
      <c r="P75" s="10"/>
    </row>
    <row r="76" spans="1:17" x14ac:dyDescent="0.25">
      <c r="A76" s="16" t="s">
        <v>123</v>
      </c>
      <c r="B76" s="10"/>
      <c r="C76" s="10"/>
      <c r="D76" s="10"/>
      <c r="E76" s="10" t="s">
        <v>491</v>
      </c>
      <c r="F76" s="10"/>
      <c r="G76" s="10"/>
      <c r="H76" s="10"/>
      <c r="I76" s="10"/>
      <c r="J76" s="10" t="s">
        <v>300</v>
      </c>
      <c r="K76" s="10" t="s">
        <v>1039</v>
      </c>
      <c r="L76" s="10" t="s">
        <v>314</v>
      </c>
      <c r="M76" s="10"/>
      <c r="N76" s="10"/>
      <c r="O76" s="10"/>
      <c r="P76" s="10"/>
    </row>
    <row r="77" spans="1:17" x14ac:dyDescent="0.25">
      <c r="A77" s="16" t="s">
        <v>124</v>
      </c>
      <c r="B77" s="10" t="s">
        <v>139</v>
      </c>
      <c r="C77" s="10" t="s">
        <v>838</v>
      </c>
      <c r="D77" s="10" t="s">
        <v>270</v>
      </c>
      <c r="E77" s="10" t="s">
        <v>492</v>
      </c>
      <c r="F77" s="10" t="s">
        <v>899</v>
      </c>
      <c r="G77" s="10" t="s">
        <v>704</v>
      </c>
      <c r="H77" s="10" t="s">
        <v>126</v>
      </c>
      <c r="I77" s="10" t="s">
        <v>1120</v>
      </c>
      <c r="J77" s="10" t="s">
        <v>299</v>
      </c>
      <c r="K77" s="10" t="s">
        <v>767</v>
      </c>
      <c r="L77" s="10" t="s">
        <v>767</v>
      </c>
      <c r="M77" s="10" t="s">
        <v>125</v>
      </c>
      <c r="N77" s="10" t="s">
        <v>190</v>
      </c>
      <c r="O77" s="10" t="s">
        <v>191</v>
      </c>
      <c r="P77" s="10" t="s">
        <v>189</v>
      </c>
      <c r="Q77" t="s">
        <v>323</v>
      </c>
    </row>
    <row r="78" spans="1:17" x14ac:dyDescent="0.25">
      <c r="A78" s="16" t="s">
        <v>127</v>
      </c>
      <c r="B78" s="10" t="s">
        <v>140</v>
      </c>
      <c r="C78" s="10" t="s">
        <v>1053</v>
      </c>
      <c r="D78" s="10" t="s">
        <v>269</v>
      </c>
      <c r="E78" s="10" t="s">
        <v>493</v>
      </c>
      <c r="F78" s="10" t="s">
        <v>900</v>
      </c>
      <c r="G78" s="10" t="s">
        <v>121</v>
      </c>
      <c r="H78" s="10" t="s">
        <v>121</v>
      </c>
      <c r="I78" s="10" t="s">
        <v>296</v>
      </c>
      <c r="J78" s="10" t="s">
        <v>298</v>
      </c>
      <c r="K78" s="10" t="s">
        <v>121</v>
      </c>
      <c r="L78" s="10" t="s">
        <v>839</v>
      </c>
      <c r="M78" s="10" t="s">
        <v>128</v>
      </c>
      <c r="N78" s="10" t="s">
        <v>140</v>
      </c>
      <c r="O78" s="10" t="s">
        <v>1053</v>
      </c>
      <c r="P78" s="10" t="s">
        <v>269</v>
      </c>
      <c r="Q78" t="s">
        <v>324</v>
      </c>
    </row>
    <row r="79" spans="1:17" x14ac:dyDescent="0.25">
      <c r="A79" s="16" t="s">
        <v>565</v>
      </c>
      <c r="B79" s="10" t="s">
        <v>967</v>
      </c>
      <c r="C79" s="10" t="s">
        <v>967</v>
      </c>
      <c r="D79" s="10" t="s">
        <v>967</v>
      </c>
      <c r="E79" s="10" t="s">
        <v>968</v>
      </c>
      <c r="F79" s="10" t="s">
        <v>967</v>
      </c>
      <c r="G79" s="10" t="s">
        <v>907</v>
      </c>
      <c r="H79" s="10" t="s">
        <v>969</v>
      </c>
      <c r="I79" s="10" t="s">
        <v>970</v>
      </c>
      <c r="J79" s="10" t="s">
        <v>971</v>
      </c>
      <c r="K79" s="10" t="s">
        <v>1040</v>
      </c>
      <c r="L79" s="10" t="s">
        <v>908</v>
      </c>
      <c r="M79" s="10" t="s">
        <v>566</v>
      </c>
      <c r="N79" s="10" t="s">
        <v>969</v>
      </c>
      <c r="O79" s="10" t="s">
        <v>969</v>
      </c>
      <c r="P79" s="10" t="s">
        <v>984</v>
      </c>
      <c r="Q79" t="s">
        <v>566</v>
      </c>
    </row>
    <row r="80" spans="1:17" x14ac:dyDescent="0.25">
      <c r="A80" s="16" t="s">
        <v>156</v>
      </c>
      <c r="B80" s="10" t="s">
        <v>160</v>
      </c>
      <c r="C80" s="10" t="s">
        <v>159</v>
      </c>
      <c r="D80" s="10" t="s">
        <v>158</v>
      </c>
      <c r="E80" s="10" t="s">
        <v>158</v>
      </c>
      <c r="F80" s="10" t="s">
        <v>158</v>
      </c>
      <c r="G80" s="10" t="s">
        <v>161</v>
      </c>
      <c r="H80" s="10" t="s">
        <v>162</v>
      </c>
      <c r="I80" s="10" t="s">
        <v>163</v>
      </c>
      <c r="J80" s="10" t="s">
        <v>1243</v>
      </c>
      <c r="K80" s="10" t="s">
        <v>162</v>
      </c>
      <c r="L80" s="10" t="s">
        <v>162</v>
      </c>
      <c r="M80" s="10" t="s">
        <v>164</v>
      </c>
      <c r="N80" s="10" t="s">
        <v>162</v>
      </c>
      <c r="O80" s="10" t="s">
        <v>162</v>
      </c>
      <c r="P80" s="10" t="s">
        <v>162</v>
      </c>
      <c r="Q80" t="s">
        <v>1093</v>
      </c>
    </row>
    <row r="81" spans="1:17" x14ac:dyDescent="0.25">
      <c r="A81" s="10" t="s">
        <v>154</v>
      </c>
      <c r="B81" s="10" t="s">
        <v>181</v>
      </c>
      <c r="C81" s="10" t="s">
        <v>810</v>
      </c>
      <c r="D81" s="10" t="s">
        <v>268</v>
      </c>
      <c r="E81" s="10" t="s">
        <v>494</v>
      </c>
      <c r="F81" s="10" t="s">
        <v>901</v>
      </c>
      <c r="G81" s="10" t="s">
        <v>161</v>
      </c>
      <c r="H81" s="10" t="s">
        <v>162</v>
      </c>
      <c r="I81" s="10" t="s">
        <v>950</v>
      </c>
      <c r="J81" s="10" t="s">
        <v>1108</v>
      </c>
      <c r="K81" s="10" t="s">
        <v>162</v>
      </c>
      <c r="L81" s="10" t="s">
        <v>1096</v>
      </c>
      <c r="M81" s="10" t="s">
        <v>164</v>
      </c>
      <c r="N81" s="10" t="s">
        <v>317</v>
      </c>
      <c r="O81" s="10" t="s">
        <v>774</v>
      </c>
      <c r="P81" s="10" t="s">
        <v>790</v>
      </c>
      <c r="Q81" t="s">
        <v>902</v>
      </c>
    </row>
    <row r="82" spans="1:17" x14ac:dyDescent="0.25">
      <c r="A82" s="10" t="s">
        <v>157</v>
      </c>
      <c r="B82" s="10" t="s">
        <v>186</v>
      </c>
      <c r="C82" s="10" t="s">
        <v>185</v>
      </c>
      <c r="D82" s="10" t="s">
        <v>184</v>
      </c>
      <c r="E82" s="10" t="s">
        <v>184</v>
      </c>
      <c r="F82" s="10" t="s">
        <v>184</v>
      </c>
      <c r="G82" s="10" t="s">
        <v>705</v>
      </c>
      <c r="H82" s="10" t="s">
        <v>188</v>
      </c>
      <c r="I82" s="10" t="s">
        <v>183</v>
      </c>
      <c r="J82" s="10" t="s">
        <v>1242</v>
      </c>
      <c r="K82" s="10" t="s">
        <v>188</v>
      </c>
      <c r="L82" s="10" t="s">
        <v>188</v>
      </c>
      <c r="M82" s="10" t="s">
        <v>182</v>
      </c>
      <c r="N82" s="10" t="s">
        <v>188</v>
      </c>
      <c r="O82" s="10" t="s">
        <v>188</v>
      </c>
      <c r="P82" s="10" t="s">
        <v>188</v>
      </c>
      <c r="Q82" t="s">
        <v>1094</v>
      </c>
    </row>
    <row r="83" spans="1:17" x14ac:dyDescent="0.25">
      <c r="A83" s="10" t="s">
        <v>155</v>
      </c>
      <c r="B83" s="10" t="s">
        <v>187</v>
      </c>
      <c r="C83" s="18" t="s">
        <v>775</v>
      </c>
      <c r="D83" s="18" t="s">
        <v>784</v>
      </c>
      <c r="E83" s="16" t="s">
        <v>495</v>
      </c>
      <c r="F83" s="10" t="s">
        <v>903</v>
      </c>
      <c r="G83" s="10" t="s">
        <v>705</v>
      </c>
      <c r="H83" s="16" t="s">
        <v>188</v>
      </c>
      <c r="I83" s="16" t="s">
        <v>297</v>
      </c>
      <c r="J83" s="16" t="s">
        <v>1109</v>
      </c>
      <c r="K83" s="16" t="s">
        <v>188</v>
      </c>
      <c r="L83" s="16" t="s">
        <v>1097</v>
      </c>
      <c r="M83" s="10" t="s">
        <v>182</v>
      </c>
      <c r="N83" s="16" t="s">
        <v>316</v>
      </c>
      <c r="O83" s="10" t="s">
        <v>802</v>
      </c>
      <c r="P83" s="10" t="s">
        <v>315</v>
      </c>
      <c r="Q83" t="s">
        <v>904</v>
      </c>
    </row>
    <row r="84" spans="1:17" x14ac:dyDescent="0.25">
      <c r="A84" s="10" t="s">
        <v>519</v>
      </c>
      <c r="B84" s="10" t="s">
        <v>393</v>
      </c>
      <c r="C84" s="10" t="s">
        <v>382</v>
      </c>
      <c r="D84" s="16" t="s">
        <v>411</v>
      </c>
      <c r="E84" s="16" t="s">
        <v>511</v>
      </c>
      <c r="F84" s="10" t="s">
        <v>399</v>
      </c>
      <c r="G84" s="10" t="s">
        <v>387</v>
      </c>
      <c r="H84" s="10" t="s">
        <v>534</v>
      </c>
      <c r="I84" s="16" t="s">
        <v>424</v>
      </c>
      <c r="J84" s="2" t="s">
        <v>1236</v>
      </c>
      <c r="K84" s="10" t="s">
        <v>387</v>
      </c>
      <c r="L84" s="16" t="s">
        <v>760</v>
      </c>
      <c r="M84" s="10" t="s">
        <v>390</v>
      </c>
      <c r="N84" s="10" t="s">
        <v>393</v>
      </c>
      <c r="O84" s="10" t="s">
        <v>417</v>
      </c>
      <c r="P84" s="10" t="s">
        <v>821</v>
      </c>
      <c r="Q84" t="s">
        <v>541</v>
      </c>
    </row>
    <row r="85" spans="1:17" x14ac:dyDescent="0.25">
      <c r="A85" s="10" t="s">
        <v>520</v>
      </c>
      <c r="B85" s="10" t="s">
        <v>394</v>
      </c>
      <c r="C85" s="10" t="s">
        <v>383</v>
      </c>
      <c r="D85" s="16" t="s">
        <v>407</v>
      </c>
      <c r="E85" s="16" t="s">
        <v>512</v>
      </c>
      <c r="F85" s="10" t="s">
        <v>400</v>
      </c>
      <c r="G85" s="10" t="s">
        <v>729</v>
      </c>
      <c r="H85" s="10" t="s">
        <v>535</v>
      </c>
      <c r="I85" s="16" t="s">
        <v>1063</v>
      </c>
      <c r="J85" s="2" t="s">
        <v>1237</v>
      </c>
      <c r="K85" s="16" t="s">
        <v>1069</v>
      </c>
      <c r="L85" s="16" t="s">
        <v>1058</v>
      </c>
      <c r="M85" s="10" t="s">
        <v>706</v>
      </c>
      <c r="N85" s="10" t="s">
        <v>527</v>
      </c>
      <c r="O85" s="10" t="s">
        <v>410</v>
      </c>
      <c r="P85" s="10" t="s">
        <v>822</v>
      </c>
      <c r="Q85" t="s">
        <v>542</v>
      </c>
    </row>
    <row r="86" spans="1:17" x14ac:dyDescent="0.25">
      <c r="A86" s="10" t="s">
        <v>521</v>
      </c>
      <c r="B86" s="23" t="s">
        <v>420</v>
      </c>
      <c r="C86" s="23" t="s">
        <v>384</v>
      </c>
      <c r="D86" s="24" t="s">
        <v>415</v>
      </c>
      <c r="E86" s="16" t="s">
        <v>513</v>
      </c>
      <c r="F86" s="23" t="s">
        <v>401</v>
      </c>
      <c r="G86" s="10" t="s">
        <v>707</v>
      </c>
      <c r="H86" s="18" t="s">
        <v>536</v>
      </c>
      <c r="I86" s="18" t="s">
        <v>1064</v>
      </c>
      <c r="J86" s="2" t="s">
        <v>1238</v>
      </c>
      <c r="K86" s="16" t="s">
        <v>1070</v>
      </c>
      <c r="L86" s="18" t="s">
        <v>1060</v>
      </c>
      <c r="M86" s="10" t="s">
        <v>1068</v>
      </c>
      <c r="N86" s="18" t="s">
        <v>528</v>
      </c>
      <c r="O86" s="10" t="s">
        <v>418</v>
      </c>
      <c r="P86" s="10" t="s">
        <v>823</v>
      </c>
      <c r="Q86" t="s">
        <v>543</v>
      </c>
    </row>
    <row r="87" spans="1:17" x14ac:dyDescent="0.25">
      <c r="A87" s="10" t="s">
        <v>522</v>
      </c>
      <c r="B87" s="23" t="s">
        <v>419</v>
      </c>
      <c r="C87" s="23" t="s">
        <v>385</v>
      </c>
      <c r="D87" s="23" t="s">
        <v>416</v>
      </c>
      <c r="E87" s="16" t="s">
        <v>514</v>
      </c>
      <c r="F87" s="23" t="s">
        <v>403</v>
      </c>
      <c r="G87" s="10" t="s">
        <v>708</v>
      </c>
      <c r="H87" s="16" t="s">
        <v>538</v>
      </c>
      <c r="I87" s="16" t="s">
        <v>408</v>
      </c>
      <c r="J87" s="2" t="s">
        <v>1239</v>
      </c>
      <c r="K87" s="10" t="s">
        <v>1071</v>
      </c>
      <c r="L87" s="16" t="s">
        <v>1059</v>
      </c>
      <c r="M87" s="10" t="s">
        <v>709</v>
      </c>
      <c r="N87" s="16" t="s">
        <v>530</v>
      </c>
      <c r="O87" s="10" t="s">
        <v>422</v>
      </c>
      <c r="P87" s="10" t="s">
        <v>824</v>
      </c>
      <c r="Q87" t="s">
        <v>544</v>
      </c>
    </row>
    <row r="88" spans="1:17" x14ac:dyDescent="0.25">
      <c r="A88" s="10" t="s">
        <v>523</v>
      </c>
      <c r="B88" s="10" t="s">
        <v>395</v>
      </c>
      <c r="C88" s="10" t="s">
        <v>412</v>
      </c>
      <c r="D88" s="18" t="s">
        <v>965</v>
      </c>
      <c r="E88" s="18" t="s">
        <v>515</v>
      </c>
      <c r="F88" s="10" t="s">
        <v>402</v>
      </c>
      <c r="G88" s="10" t="s">
        <v>730</v>
      </c>
      <c r="H88" s="10" t="s">
        <v>537</v>
      </c>
      <c r="I88" s="18" t="s">
        <v>1065</v>
      </c>
      <c r="J88" s="2" t="s">
        <v>1240</v>
      </c>
      <c r="K88" s="16" t="s">
        <v>1072</v>
      </c>
      <c r="L88" s="18" t="s">
        <v>1061</v>
      </c>
      <c r="M88" s="10" t="s">
        <v>710</v>
      </c>
      <c r="N88" s="10" t="s">
        <v>529</v>
      </c>
      <c r="O88" s="10" t="s">
        <v>421</v>
      </c>
      <c r="P88" s="10" t="s">
        <v>533</v>
      </c>
      <c r="Q88" t="s">
        <v>545</v>
      </c>
    </row>
    <row r="89" spans="1:17" x14ac:dyDescent="0.25">
      <c r="A89" s="10" t="s">
        <v>524</v>
      </c>
      <c r="B89" s="10" t="s">
        <v>396</v>
      </c>
      <c r="C89" s="10" t="s">
        <v>1044</v>
      </c>
      <c r="D89" s="16" t="s">
        <v>966</v>
      </c>
      <c r="E89" s="18" t="s">
        <v>516</v>
      </c>
      <c r="F89" s="10" t="s">
        <v>404</v>
      </c>
      <c r="G89" s="10" t="s">
        <v>711</v>
      </c>
      <c r="H89" s="10" t="s">
        <v>539</v>
      </c>
      <c r="I89" s="18" t="s">
        <v>1066</v>
      </c>
      <c r="J89" s="2" t="s">
        <v>427</v>
      </c>
      <c r="K89" s="10" t="s">
        <v>1073</v>
      </c>
      <c r="L89" s="18" t="s">
        <v>1062</v>
      </c>
      <c r="M89" s="10" t="s">
        <v>413</v>
      </c>
      <c r="N89" s="10" t="s">
        <v>531</v>
      </c>
      <c r="O89" s="10" t="s">
        <v>423</v>
      </c>
      <c r="P89" s="10" t="s">
        <v>825</v>
      </c>
      <c r="Q89" t="s">
        <v>546</v>
      </c>
    </row>
    <row r="90" spans="1:17" x14ac:dyDescent="0.25">
      <c r="A90" s="10" t="s">
        <v>525</v>
      </c>
      <c r="B90" s="10" t="s">
        <v>397</v>
      </c>
      <c r="C90" t="s">
        <v>1050</v>
      </c>
      <c r="D90" s="16" t="s">
        <v>414</v>
      </c>
      <c r="E90" s="18" t="s">
        <v>517</v>
      </c>
      <c r="F90" s="10" t="s">
        <v>405</v>
      </c>
      <c r="G90" s="10" t="s">
        <v>389</v>
      </c>
      <c r="H90" s="10" t="s">
        <v>840</v>
      </c>
      <c r="I90" s="18" t="s">
        <v>409</v>
      </c>
      <c r="J90" s="2" t="s">
        <v>425</v>
      </c>
      <c r="K90" s="16" t="s">
        <v>1041</v>
      </c>
      <c r="L90" s="18" t="s">
        <v>761</v>
      </c>
      <c r="M90" s="10" t="s">
        <v>391</v>
      </c>
      <c r="N90" s="10" t="s">
        <v>833</v>
      </c>
      <c r="O90" s="10" t="s">
        <v>834</v>
      </c>
      <c r="P90" s="10" t="s">
        <v>835</v>
      </c>
      <c r="Q90" t="s">
        <v>547</v>
      </c>
    </row>
    <row r="91" spans="1:17" x14ac:dyDescent="0.25">
      <c r="A91" s="10" t="s">
        <v>526</v>
      </c>
      <c r="B91" s="10" t="s">
        <v>398</v>
      </c>
      <c r="C91" s="10" t="s">
        <v>386</v>
      </c>
      <c r="D91" s="10" t="s">
        <v>785</v>
      </c>
      <c r="E91" s="10" t="s">
        <v>518</v>
      </c>
      <c r="F91" s="10" t="s">
        <v>406</v>
      </c>
      <c r="G91" s="10" t="s">
        <v>388</v>
      </c>
      <c r="H91" s="10" t="s">
        <v>540</v>
      </c>
      <c r="I91" s="10" t="s">
        <v>1067</v>
      </c>
      <c r="J91" s="8" t="s">
        <v>426</v>
      </c>
      <c r="K91" s="10" t="s">
        <v>1042</v>
      </c>
      <c r="L91" s="10" t="s">
        <v>762</v>
      </c>
      <c r="M91" s="10" t="s">
        <v>392</v>
      </c>
      <c r="N91" s="10" t="s">
        <v>532</v>
      </c>
      <c r="O91" s="10" t="s">
        <v>386</v>
      </c>
      <c r="P91" s="10" t="s">
        <v>785</v>
      </c>
      <c r="Q91" t="s">
        <v>548</v>
      </c>
    </row>
    <row r="92" spans="1:17" x14ac:dyDescent="0.25">
      <c r="A92" s="10" t="s">
        <v>559</v>
      </c>
      <c r="B92" s="10" t="s">
        <v>560</v>
      </c>
      <c r="C92" s="10" t="s">
        <v>560</v>
      </c>
      <c r="D92" s="10" t="s">
        <v>560</v>
      </c>
      <c r="E92" s="10" t="s">
        <v>893</v>
      </c>
      <c r="F92" s="10" t="s">
        <v>893</v>
      </c>
      <c r="G92" s="10" t="s">
        <v>561</v>
      </c>
      <c r="H92" s="10" t="s">
        <v>893</v>
      </c>
      <c r="I92" s="10" t="s">
        <v>803</v>
      </c>
      <c r="J92" s="10" t="s">
        <v>560</v>
      </c>
      <c r="K92" s="10" t="s">
        <v>561</v>
      </c>
      <c r="L92" s="10" t="s">
        <v>561</v>
      </c>
      <c r="M92" s="10" t="s">
        <v>562</v>
      </c>
      <c r="N92" s="10" t="s">
        <v>893</v>
      </c>
      <c r="O92" s="10" t="s">
        <v>893</v>
      </c>
      <c r="P92" s="10" t="s">
        <v>893</v>
      </c>
      <c r="Q92" t="s">
        <v>562</v>
      </c>
    </row>
    <row r="93" spans="1:17" x14ac:dyDescent="0.25">
      <c r="A93" s="10" t="s">
        <v>589</v>
      </c>
      <c r="B93" s="10" t="s">
        <v>34</v>
      </c>
      <c r="C93" s="10" t="s">
        <v>1048</v>
      </c>
      <c r="D93" s="10" t="s">
        <v>786</v>
      </c>
      <c r="E93" s="10" t="s">
        <v>590</v>
      </c>
      <c r="F93" s="10" t="s">
        <v>905</v>
      </c>
      <c r="G93" s="10" t="s">
        <v>591</v>
      </c>
      <c r="H93" s="10" t="s">
        <v>591</v>
      </c>
      <c r="I93" s="10" t="s">
        <v>931</v>
      </c>
      <c r="J93" s="10" t="s">
        <v>826</v>
      </c>
      <c r="K93" s="10" t="s">
        <v>591</v>
      </c>
      <c r="L93" s="10" t="s">
        <v>763</v>
      </c>
      <c r="M93" s="10" t="s">
        <v>591</v>
      </c>
      <c r="N93" s="10" t="s">
        <v>34</v>
      </c>
      <c r="O93" s="10" t="s">
        <v>1048</v>
      </c>
      <c r="P93" s="10" t="s">
        <v>786</v>
      </c>
      <c r="Q93" s="10" t="s">
        <v>905</v>
      </c>
    </row>
    <row r="94" spans="1:17" x14ac:dyDescent="0.25">
      <c r="A94" s="10" t="s">
        <v>592</v>
      </c>
      <c r="B94" s="10" t="s">
        <v>593</v>
      </c>
      <c r="C94" s="10" t="s">
        <v>841</v>
      </c>
      <c r="D94" s="10" t="s">
        <v>1003</v>
      </c>
      <c r="E94" s="10" t="s">
        <v>594</v>
      </c>
      <c r="F94" s="10" t="s">
        <v>828</v>
      </c>
      <c r="G94" s="10" t="s">
        <v>595</v>
      </c>
      <c r="H94" s="10" t="s">
        <v>595</v>
      </c>
      <c r="I94" s="10" t="s">
        <v>932</v>
      </c>
      <c r="J94" s="10" t="s">
        <v>827</v>
      </c>
      <c r="K94" s="10" t="s">
        <v>595</v>
      </c>
      <c r="L94" s="10" t="s">
        <v>764</v>
      </c>
      <c r="M94" s="10" t="s">
        <v>595</v>
      </c>
      <c r="N94" s="10" t="s">
        <v>593</v>
      </c>
      <c r="O94" s="10" t="s">
        <v>841</v>
      </c>
      <c r="P94" s="10" t="s">
        <v>1003</v>
      </c>
      <c r="Q94" t="s">
        <v>828</v>
      </c>
    </row>
    <row r="95" spans="1:17" x14ac:dyDescent="0.25">
      <c r="A95" s="10" t="s">
        <v>596</v>
      </c>
      <c r="B95" s="10" t="s">
        <v>597</v>
      </c>
      <c r="C95" s="10" t="s">
        <v>842</v>
      </c>
      <c r="D95" s="10" t="s">
        <v>1004</v>
      </c>
      <c r="E95" s="10" t="s">
        <v>598</v>
      </c>
      <c r="F95" s="10" t="s">
        <v>830</v>
      </c>
      <c r="G95" s="10" t="s">
        <v>599</v>
      </c>
      <c r="H95" s="10" t="s">
        <v>599</v>
      </c>
      <c r="I95" s="10" t="s">
        <v>933</v>
      </c>
      <c r="J95" s="10" t="s">
        <v>829</v>
      </c>
      <c r="K95" s="10" t="s">
        <v>599</v>
      </c>
      <c r="L95" s="10" t="s">
        <v>765</v>
      </c>
      <c r="M95" s="10" t="s">
        <v>599</v>
      </c>
      <c r="N95" s="10" t="s">
        <v>597</v>
      </c>
      <c r="O95" s="10" t="s">
        <v>842</v>
      </c>
      <c r="P95" s="10" t="s">
        <v>1004</v>
      </c>
      <c r="Q95" t="s">
        <v>830</v>
      </c>
    </row>
    <row r="96" spans="1:17" x14ac:dyDescent="0.25">
      <c r="A96" s="10" t="s">
        <v>600</v>
      </c>
      <c r="B96" s="10" t="s">
        <v>601</v>
      </c>
      <c r="C96" s="10" t="s">
        <v>602</v>
      </c>
      <c r="D96" s="10" t="s">
        <v>603</v>
      </c>
      <c r="E96" s="10" t="s">
        <v>627</v>
      </c>
      <c r="F96" s="10" t="s">
        <v>804</v>
      </c>
      <c r="G96" s="10" t="s">
        <v>604</v>
      </c>
      <c r="H96" s="10" t="s">
        <v>605</v>
      </c>
      <c r="I96" s="10" t="s">
        <v>606</v>
      </c>
      <c r="J96" s="10" t="s">
        <v>607</v>
      </c>
      <c r="K96" s="10" t="s">
        <v>609</v>
      </c>
      <c r="L96" s="10" t="s">
        <v>608</v>
      </c>
      <c r="M96" s="10" t="s">
        <v>609</v>
      </c>
      <c r="N96" s="10" t="s">
        <v>610</v>
      </c>
      <c r="O96" s="10" t="s">
        <v>805</v>
      </c>
      <c r="P96" s="10" t="s">
        <v>791</v>
      </c>
      <c r="Q96" t="s">
        <v>831</v>
      </c>
    </row>
    <row r="97" spans="1:17" x14ac:dyDescent="0.25">
      <c r="A97" s="10" t="s">
        <v>611</v>
      </c>
      <c r="B97" s="10" t="s">
        <v>612</v>
      </c>
      <c r="C97" s="10" t="s">
        <v>776</v>
      </c>
      <c r="D97" s="10" t="s">
        <v>612</v>
      </c>
      <c r="E97" s="10" t="s">
        <v>712</v>
      </c>
      <c r="F97" s="10" t="s">
        <v>776</v>
      </c>
      <c r="G97" s="10" t="s">
        <v>613</v>
      </c>
      <c r="H97" s="10" t="s">
        <v>614</v>
      </c>
      <c r="I97" s="10" t="s">
        <v>615</v>
      </c>
      <c r="J97" s="10" t="s">
        <v>616</v>
      </c>
      <c r="K97" s="10" t="s">
        <v>1043</v>
      </c>
      <c r="L97" s="10" t="s">
        <v>766</v>
      </c>
      <c r="M97" s="10" t="s">
        <v>617</v>
      </c>
      <c r="N97" s="10" t="s">
        <v>618</v>
      </c>
      <c r="O97" s="10" t="s">
        <v>806</v>
      </c>
      <c r="P97" s="10" t="s">
        <v>792</v>
      </c>
      <c r="Q97" t="s">
        <v>843</v>
      </c>
    </row>
    <row r="98" spans="1:17" x14ac:dyDescent="0.25">
      <c r="A98" s="10" t="s">
        <v>954</v>
      </c>
      <c r="B98" s="10" t="s">
        <v>906</v>
      </c>
      <c r="C98" s="10" t="s">
        <v>935</v>
      </c>
      <c r="D98" s="10" t="s">
        <v>936</v>
      </c>
      <c r="E98" s="10" t="s">
        <v>937</v>
      </c>
      <c r="F98" s="10" t="s">
        <v>807</v>
      </c>
      <c r="G98" s="10" t="s">
        <v>624</v>
      </c>
      <c r="H98" s="10" t="s">
        <v>624</v>
      </c>
      <c r="I98" s="10" t="s">
        <v>938</v>
      </c>
      <c r="J98" s="10"/>
      <c r="K98" s="10"/>
      <c r="L98" s="10"/>
      <c r="M98" s="10" t="s">
        <v>624</v>
      </c>
      <c r="N98" s="10" t="s">
        <v>623</v>
      </c>
      <c r="O98" s="10" t="s">
        <v>844</v>
      </c>
      <c r="P98" s="10" t="s">
        <v>939</v>
      </c>
      <c r="Q98" t="s">
        <v>832</v>
      </c>
    </row>
    <row r="99" spans="1:17" x14ac:dyDescent="0.25">
      <c r="A99" s="10" t="s">
        <v>715</v>
      </c>
      <c r="B99" s="10" t="s">
        <v>716</v>
      </c>
      <c r="C99" s="10" t="s">
        <v>940</v>
      </c>
      <c r="D99" s="10" t="s">
        <v>941</v>
      </c>
      <c r="E99" s="10" t="s">
        <v>942</v>
      </c>
      <c r="F99" s="10" t="s">
        <v>808</v>
      </c>
      <c r="G99" s="10" t="s">
        <v>718</v>
      </c>
      <c r="H99" s="10" t="s">
        <v>718</v>
      </c>
      <c r="I99" s="10" t="s">
        <v>934</v>
      </c>
      <c r="J99" s="10"/>
      <c r="K99" s="10"/>
      <c r="L99" s="10"/>
      <c r="M99" s="10" t="s">
        <v>718</v>
      </c>
      <c r="N99" s="10" t="s">
        <v>719</v>
      </c>
      <c r="O99" s="10" t="s">
        <v>940</v>
      </c>
      <c r="P99" s="10" t="s">
        <v>941</v>
      </c>
      <c r="Q99" t="s">
        <v>717</v>
      </c>
    </row>
    <row r="100" spans="1:17" x14ac:dyDescent="0.25">
      <c r="A100" s="10" t="s">
        <v>720</v>
      </c>
      <c r="B100" s="10" t="s">
        <v>721</v>
      </c>
      <c r="C100" s="10" t="s">
        <v>722</v>
      </c>
      <c r="D100" s="10" t="s">
        <v>723</v>
      </c>
      <c r="E100" s="10" t="s">
        <v>724</v>
      </c>
      <c r="F100" s="10" t="s">
        <v>721</v>
      </c>
      <c r="G100" s="10" t="s">
        <v>721</v>
      </c>
      <c r="H100" s="10" t="s">
        <v>721</v>
      </c>
      <c r="I100" s="10" t="s">
        <v>725</v>
      </c>
      <c r="J100" s="10" t="s">
        <v>726</v>
      </c>
      <c r="K100" s="10" t="s">
        <v>721</v>
      </c>
      <c r="L100" s="10" t="s">
        <v>727</v>
      </c>
      <c r="M100" s="10" t="s">
        <v>721</v>
      </c>
      <c r="N100" s="10" t="s">
        <v>721</v>
      </c>
      <c r="O100" s="10" t="s">
        <v>722</v>
      </c>
      <c r="P100" s="10" t="s">
        <v>723</v>
      </c>
      <c r="Q100" t="s">
        <v>721</v>
      </c>
    </row>
    <row r="101" spans="1:17" x14ac:dyDescent="0.25">
      <c r="A101" s="10" t="s">
        <v>811</v>
      </c>
      <c r="B101" s="10"/>
      <c r="C101" s="10" t="s">
        <v>1052</v>
      </c>
      <c r="D101" s="10"/>
      <c r="E101" s="10"/>
      <c r="F101" s="10"/>
      <c r="G101" s="10"/>
      <c r="H101" s="10"/>
      <c r="I101" s="10"/>
      <c r="K101" s="10"/>
      <c r="L101" s="10"/>
      <c r="M101" s="10"/>
      <c r="N101" s="10"/>
      <c r="O101" s="10" t="s">
        <v>812</v>
      </c>
      <c r="P101" s="1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L36"/>
  <sheetViews>
    <sheetView zoomScaleNormal="100" workbookViewId="0">
      <pane ySplit="1" topLeftCell="A2" activePane="bottomLeft" state="frozen"/>
      <selection pane="bottomLeft" activeCell="D5" sqref="D5:D11"/>
    </sheetView>
  </sheetViews>
  <sheetFormatPr baseColWidth="10" defaultRowHeight="15" x14ac:dyDescent="0.25"/>
  <cols>
    <col min="1" max="1" width="5.42578125" customWidth="1"/>
    <col min="2" max="2" width="7" customWidth="1"/>
    <col min="3" max="3" width="5.7109375" customWidth="1"/>
    <col min="4" max="4" width="5" customWidth="1"/>
    <col min="5" max="6" width="5.28515625" customWidth="1"/>
    <col min="7" max="7" width="5.140625" customWidth="1"/>
    <col min="8" max="8" width="5" customWidth="1"/>
    <col min="9" max="9" width="5.140625" customWidth="1"/>
    <col min="10" max="11" width="5.42578125" customWidth="1"/>
    <col min="12" max="12" width="4.85546875" customWidth="1"/>
    <col min="13" max="13" width="5.85546875" customWidth="1"/>
    <col min="14" max="14" width="5.28515625" customWidth="1"/>
    <col min="15" max="15" width="5.42578125" customWidth="1"/>
    <col min="16" max="16" width="5.140625" customWidth="1"/>
    <col min="17" max="17" width="5.5703125" customWidth="1"/>
    <col min="18" max="19" width="5" customWidth="1"/>
    <col min="20" max="20" width="4.5703125" customWidth="1"/>
    <col min="21" max="21" width="5.85546875" customWidth="1"/>
    <col min="22" max="22" width="4.5703125" customWidth="1"/>
    <col min="23" max="23" width="5.28515625" customWidth="1"/>
    <col min="24" max="25" width="4.5703125" customWidth="1"/>
    <col min="26" max="26" width="4.85546875" customWidth="1"/>
    <col min="27" max="28" width="5.140625" customWidth="1"/>
    <col min="29" max="29" width="5.7109375" customWidth="1"/>
    <col min="30" max="30" width="6.7109375" customWidth="1"/>
    <col min="31" max="31" width="5.5703125" customWidth="1"/>
    <col min="32" max="32" width="8.5703125" customWidth="1"/>
    <col min="33" max="33" width="8.42578125" customWidth="1"/>
    <col min="34" max="35" width="8.28515625" customWidth="1"/>
    <col min="36" max="36" width="8.42578125" customWidth="1"/>
    <col min="37" max="37" width="5" customWidth="1"/>
    <col min="38" max="39" width="6.140625" customWidth="1"/>
    <col min="40" max="40" width="6.5703125" customWidth="1"/>
    <col min="41" max="42" width="6.42578125" customWidth="1"/>
    <col min="43" max="43" width="7.28515625" customWidth="1"/>
    <col min="44" max="44" width="6.85546875" customWidth="1"/>
    <col min="45" max="45" width="7.140625" customWidth="1"/>
    <col min="46" max="47" width="10.42578125" customWidth="1"/>
  </cols>
  <sheetData>
    <row r="1" spans="1:64" s="15" customFormat="1" ht="42.75" customHeight="1" x14ac:dyDescent="0.25">
      <c r="A1" s="11" t="s">
        <v>0</v>
      </c>
      <c r="B1" s="11" t="s">
        <v>1110</v>
      </c>
      <c r="C1" s="11" t="s">
        <v>1115</v>
      </c>
      <c r="D1" s="7" t="s">
        <v>335</v>
      </c>
      <c r="E1" s="7" t="s">
        <v>336</v>
      </c>
      <c r="F1" s="7" t="s">
        <v>337</v>
      </c>
      <c r="G1" s="7" t="s">
        <v>338</v>
      </c>
      <c r="H1" s="7" t="s">
        <v>339</v>
      </c>
      <c r="I1" s="7" t="s">
        <v>340</v>
      </c>
      <c r="J1" s="7" t="s">
        <v>341</v>
      </c>
      <c r="K1" s="7" t="s">
        <v>342</v>
      </c>
      <c r="L1" s="7" t="s">
        <v>343</v>
      </c>
      <c r="M1" s="7" t="s">
        <v>344</v>
      </c>
      <c r="N1" s="7" t="s">
        <v>345</v>
      </c>
      <c r="O1" s="7" t="s">
        <v>346</v>
      </c>
      <c r="P1" s="7" t="s">
        <v>347</v>
      </c>
      <c r="Q1" s="7" t="s">
        <v>348</v>
      </c>
      <c r="R1" s="7" t="s">
        <v>1111</v>
      </c>
      <c r="S1" s="7" t="s">
        <v>1112</v>
      </c>
      <c r="T1" s="7" t="s">
        <v>1113</v>
      </c>
      <c r="U1" s="7" t="s">
        <v>1114</v>
      </c>
      <c r="V1" s="7" t="s">
        <v>356</v>
      </c>
      <c r="W1" s="7" t="s">
        <v>357</v>
      </c>
      <c r="X1" s="7" t="s">
        <v>358</v>
      </c>
      <c r="Y1" s="7" t="s">
        <v>359</v>
      </c>
      <c r="Z1" s="7" t="s">
        <v>360</v>
      </c>
      <c r="AA1" s="7" t="s">
        <v>349</v>
      </c>
      <c r="AB1" s="7" t="s">
        <v>350</v>
      </c>
      <c r="AC1" s="7" t="s">
        <v>351</v>
      </c>
      <c r="AD1" s="7" t="s">
        <v>352</v>
      </c>
      <c r="AE1" s="7" t="s">
        <v>8</v>
      </c>
      <c r="AF1" s="7" t="s">
        <v>4</v>
      </c>
      <c r="AG1" s="7" t="s">
        <v>5</v>
      </c>
      <c r="AH1" s="7" t="s">
        <v>6</v>
      </c>
      <c r="AI1" s="7" t="s">
        <v>16</v>
      </c>
      <c r="AJ1" s="7" t="s">
        <v>17</v>
      </c>
      <c r="AK1" s="7" t="s">
        <v>18</v>
      </c>
      <c r="AL1" s="7" t="s">
        <v>353</v>
      </c>
      <c r="AM1" s="7" t="s">
        <v>354</v>
      </c>
      <c r="AN1" s="7" t="s">
        <v>355</v>
      </c>
      <c r="AO1" s="7" t="s">
        <v>620</v>
      </c>
      <c r="AP1" s="7" t="s">
        <v>621</v>
      </c>
      <c r="AQ1" s="7" t="s">
        <v>622</v>
      </c>
      <c r="AR1" s="7" t="s">
        <v>1074</v>
      </c>
      <c r="AS1" s="7" t="s">
        <v>1075</v>
      </c>
      <c r="AT1" s="7" t="s">
        <v>1076</v>
      </c>
      <c r="AU1" s="7" t="s">
        <v>361</v>
      </c>
      <c r="AV1" s="7" t="s">
        <v>362</v>
      </c>
      <c r="AW1" s="7" t="s">
        <v>1077</v>
      </c>
      <c r="AX1" s="7" t="s">
        <v>1229</v>
      </c>
      <c r="AY1" s="7" t="s">
        <v>1230</v>
      </c>
      <c r="AZ1" s="15" t="s">
        <v>1231</v>
      </c>
      <c r="BA1" s="15" t="s">
        <v>363</v>
      </c>
      <c r="BB1" s="15" t="s">
        <v>364</v>
      </c>
      <c r="BC1" s="15" t="s">
        <v>365</v>
      </c>
      <c r="BD1" s="15" t="s">
        <v>366</v>
      </c>
      <c r="BE1" s="15" t="s">
        <v>1232</v>
      </c>
      <c r="BF1" s="15" t="s">
        <v>367</v>
      </c>
      <c r="BG1" s="15" t="s">
        <v>368</v>
      </c>
      <c r="BI1" s="15" t="s">
        <v>1078</v>
      </c>
    </row>
    <row r="2" spans="1:64" s="8" customFormat="1" x14ac:dyDescent="0.25">
      <c r="A2" s="27" t="s">
        <v>1241</v>
      </c>
      <c r="B2" s="28">
        <f>SUM(B5:B15)</f>
        <v>822342.55550000002</v>
      </c>
      <c r="C2" s="29"/>
      <c r="D2" s="30">
        <v>1000</v>
      </c>
      <c r="E2" s="31">
        <f t="shared" ref="E2:U2" si="0">SUMPRODUCT($B5:$B15,E5:E15)/$B2</f>
        <v>509.65271733708778</v>
      </c>
      <c r="F2" s="31">
        <f t="shared" si="0"/>
        <v>489.94196992824851</v>
      </c>
      <c r="G2" s="31">
        <f t="shared" si="0"/>
        <v>99.899332513018649</v>
      </c>
      <c r="H2" s="31">
        <f t="shared" si="0"/>
        <v>159.28319995109385</v>
      </c>
      <c r="I2" s="31">
        <f t="shared" si="0"/>
        <v>254.86531937784409</v>
      </c>
      <c r="J2" s="31">
        <f t="shared" si="0"/>
        <v>239.19064371526377</v>
      </c>
      <c r="K2" s="31">
        <f t="shared" si="0"/>
        <v>246.44922974498792</v>
      </c>
      <c r="L2" s="31">
        <f t="shared" si="0"/>
        <v>90.200230870831646</v>
      </c>
      <c r="M2" s="31">
        <f t="shared" si="0"/>
        <v>311.67529109486532</v>
      </c>
      <c r="N2" s="31">
        <f t="shared" si="0"/>
        <v>292.59880131023766</v>
      </c>
      <c r="O2" s="31">
        <f t="shared" si="0"/>
        <v>626.55930313702459</v>
      </c>
      <c r="P2" s="31">
        <f t="shared" si="0"/>
        <v>146.19604544349767</v>
      </c>
      <c r="Q2" s="31">
        <f t="shared" si="0"/>
        <v>198.15725048963492</v>
      </c>
      <c r="R2" s="31">
        <f t="shared" si="0"/>
        <v>250</v>
      </c>
      <c r="S2" s="31">
        <f t="shared" si="0"/>
        <v>250</v>
      </c>
      <c r="T2" s="31">
        <f t="shared" si="0"/>
        <v>250</v>
      </c>
      <c r="U2" s="31">
        <f t="shared" si="0"/>
        <v>250</v>
      </c>
      <c r="V2" s="31"/>
      <c r="W2" s="31"/>
      <c r="X2" s="31"/>
      <c r="Y2" s="31"/>
      <c r="Z2" s="31"/>
      <c r="AA2" s="31"/>
      <c r="AB2" s="31"/>
      <c r="AC2" s="31"/>
      <c r="AD2" s="31"/>
      <c r="AE2" s="31"/>
      <c r="AF2" s="31"/>
      <c r="AG2" s="31"/>
      <c r="AH2" s="31"/>
      <c r="AI2" s="31"/>
      <c r="AJ2" s="31"/>
      <c r="AK2" s="31"/>
      <c r="AL2" s="31">
        <f t="shared" ref="AL2:BE2" si="1">SUMPRODUCT($B5:$B15,AL5:AL15)/$B2</f>
        <v>12.954596014786327</v>
      </c>
      <c r="AM2" s="31">
        <f t="shared" si="1"/>
        <v>43.699580662872094</v>
      </c>
      <c r="AN2" s="31">
        <f t="shared" si="1"/>
        <v>43.284425985368223</v>
      </c>
      <c r="AO2" s="31">
        <f t="shared" si="1"/>
        <v>145.93906364122245</v>
      </c>
      <c r="AP2" s="31">
        <f t="shared" si="1"/>
        <v>64.679668352028997</v>
      </c>
      <c r="AQ2" s="31">
        <f t="shared" si="1"/>
        <v>55.001430236088524</v>
      </c>
      <c r="AR2" s="31">
        <f t="shared" si="1"/>
        <v>97.699412792400494</v>
      </c>
      <c r="AS2" s="31">
        <f t="shared" si="1"/>
        <v>19.076589188096612</v>
      </c>
      <c r="AT2" s="31">
        <f t="shared" si="1"/>
        <v>494.73514497119504</v>
      </c>
      <c r="AU2" s="31">
        <f t="shared" si="1"/>
        <v>15.682088730722388</v>
      </c>
      <c r="AV2" s="31">
        <f t="shared" si="1"/>
        <v>3.6846803105764843</v>
      </c>
      <c r="AW2" s="31">
        <f t="shared" si="1"/>
        <v>76.302465550805351</v>
      </c>
      <c r="AX2" s="31">
        <f t="shared" si="1"/>
        <v>343.49590740740894</v>
      </c>
      <c r="AY2" s="31">
        <f t="shared" si="1"/>
        <v>361.05284665862098</v>
      </c>
      <c r="AZ2" s="31">
        <f t="shared" si="1"/>
        <v>110.5310442996404</v>
      </c>
      <c r="BA2" s="31">
        <f t="shared" si="1"/>
        <v>207.70458641408266</v>
      </c>
      <c r="BB2" s="31">
        <f t="shared" si="1"/>
        <v>216.04825920210862</v>
      </c>
      <c r="BC2" s="31">
        <f t="shared" si="1"/>
        <v>60.041738152970865</v>
      </c>
      <c r="BD2" s="31">
        <f t="shared" si="1"/>
        <v>338.13275345440883</v>
      </c>
      <c r="BE2" s="31">
        <f t="shared" si="1"/>
        <v>8.9620955682846724</v>
      </c>
      <c r="BF2" s="32"/>
      <c r="BG2" s="32"/>
      <c r="BH2" s="32"/>
      <c r="BI2" s="32"/>
      <c r="BJ2" s="32"/>
      <c r="BK2" s="32"/>
      <c r="BL2" s="32"/>
    </row>
    <row r="3" spans="1:64" s="8" customFormat="1" x14ac:dyDescent="0.25">
      <c r="A3" s="27" t="s">
        <v>15</v>
      </c>
      <c r="B3" s="28">
        <f>SUM(B5:B9)</f>
        <v>245837.5575</v>
      </c>
      <c r="C3" s="29"/>
      <c r="D3" s="30">
        <v>1000</v>
      </c>
      <c r="E3" s="31">
        <f t="shared" ref="E3:U3" si="2">SUMPRODUCT($C18:$C22,E5:E9)</f>
        <v>515.70773589975329</v>
      </c>
      <c r="F3" s="31">
        <f t="shared" si="2"/>
        <v>484.29226410024671</v>
      </c>
      <c r="G3" s="31">
        <f t="shared" si="2"/>
        <v>90.211294039098817</v>
      </c>
      <c r="H3" s="31">
        <f t="shared" si="2"/>
        <v>142.84715470985287</v>
      </c>
      <c r="I3" s="31">
        <f t="shared" si="2"/>
        <v>250.83366309224292</v>
      </c>
      <c r="J3" s="31">
        <f t="shared" si="2"/>
        <v>246.25039693202083</v>
      </c>
      <c r="K3" s="31">
        <f t="shared" si="2"/>
        <v>269.68821091542702</v>
      </c>
      <c r="L3" s="31">
        <f t="shared" si="2"/>
        <v>140.06624411929943</v>
      </c>
      <c r="M3" s="31">
        <f t="shared" si="2"/>
        <v>276.70719186269002</v>
      </c>
      <c r="N3" s="31">
        <f t="shared" si="2"/>
        <v>222.91710193214294</v>
      </c>
      <c r="O3" s="31">
        <f t="shared" si="2"/>
        <v>419.17255754496534</v>
      </c>
      <c r="P3" s="31">
        <f t="shared" si="2"/>
        <v>346.40572559173404</v>
      </c>
      <c r="Q3" s="31">
        <f t="shared" si="2"/>
        <v>233.9306692070316</v>
      </c>
      <c r="R3" s="31">
        <f t="shared" si="2"/>
        <v>250.00000000000003</v>
      </c>
      <c r="S3" s="31">
        <f t="shared" si="2"/>
        <v>250.00000000000003</v>
      </c>
      <c r="T3" s="31">
        <f t="shared" si="2"/>
        <v>250.00000000000003</v>
      </c>
      <c r="U3" s="31">
        <f t="shared" si="2"/>
        <v>250.00000000000003</v>
      </c>
      <c r="V3" s="31"/>
      <c r="W3" s="31"/>
      <c r="X3" s="31"/>
      <c r="Y3" s="31"/>
      <c r="Z3" s="31"/>
      <c r="AA3" s="29"/>
      <c r="AB3" s="29"/>
      <c r="AC3" s="29"/>
      <c r="AD3" s="29"/>
      <c r="AE3" s="28">
        <f>$C18*$D3</f>
        <v>217.24191276451955</v>
      </c>
      <c r="AF3" s="28">
        <f>$C19*$D3</f>
        <v>285.3310209498685</v>
      </c>
      <c r="AG3" s="28">
        <f>$C20*$D3</f>
        <v>205.71663531921479</v>
      </c>
      <c r="AH3" s="28">
        <f>$C21*$D3</f>
        <v>127.63705350236532</v>
      </c>
      <c r="AI3" s="28">
        <f>$C22*$D3</f>
        <v>164.07337746403186</v>
      </c>
      <c r="AJ3" s="28"/>
      <c r="AK3" s="28"/>
      <c r="AL3" s="31">
        <f t="shared" ref="AL3:BD3" si="3">SUMPRODUCT($C18:$C22,AL5:AL9)</f>
        <v>22.004653264613207</v>
      </c>
      <c r="AM3" s="31">
        <f t="shared" si="3"/>
        <v>43.142540527777101</v>
      </c>
      <c r="AN3" s="31">
        <f t="shared" si="3"/>
        <v>34.81467467858684</v>
      </c>
      <c r="AO3" s="31">
        <f t="shared" si="3"/>
        <v>356.32383546251742</v>
      </c>
      <c r="AP3" s="31">
        <f t="shared" si="3"/>
        <v>154.96091339146861</v>
      </c>
      <c r="AQ3" s="31">
        <f t="shared" si="3"/>
        <v>155.57880423719843</v>
      </c>
      <c r="AR3" s="31">
        <f t="shared" si="3"/>
        <v>118.04614317643323</v>
      </c>
      <c r="AS3" s="31">
        <f t="shared" si="3"/>
        <v>28.263754174503532</v>
      </c>
      <c r="AT3" s="31">
        <f t="shared" si="3"/>
        <v>490.02907990750464</v>
      </c>
      <c r="AU3" s="31">
        <f t="shared" si="3"/>
        <v>18.948016561225238</v>
      </c>
      <c r="AV3" s="31">
        <f t="shared" si="3"/>
        <v>5.6430722131301039</v>
      </c>
      <c r="AW3" s="31">
        <f t="shared" si="3"/>
        <v>76.51982380289374</v>
      </c>
      <c r="AX3" s="31">
        <f t="shared" si="3"/>
        <v>356.71572705732916</v>
      </c>
      <c r="AY3" s="31">
        <f t="shared" si="3"/>
        <v>314.16938127457928</v>
      </c>
      <c r="AZ3" s="31">
        <f t="shared" si="3"/>
        <v>303.80311031860413</v>
      </c>
      <c r="BA3" s="31">
        <f t="shared" si="3"/>
        <v>212.47873446261511</v>
      </c>
      <c r="BB3" s="31">
        <f t="shared" si="3"/>
        <v>184.91289091982384</v>
      </c>
      <c r="BC3" s="31">
        <f t="shared" si="3"/>
        <v>164.24449228461859</v>
      </c>
      <c r="BD3" s="31">
        <f t="shared" si="3"/>
        <v>425.36423825691884</v>
      </c>
      <c r="BE3" s="29">
        <f t="shared" ref="BE3:BE12" si="4">1000-SUM(BA3:BD3)</f>
        <v>12.999644076023628</v>
      </c>
      <c r="BF3" s="32"/>
      <c r="BG3" s="32"/>
      <c r="BH3" s="32"/>
      <c r="BI3" s="32"/>
      <c r="BJ3" s="32"/>
      <c r="BK3" s="32"/>
      <c r="BL3" s="32"/>
    </row>
    <row r="4" spans="1:64" s="8" customFormat="1" x14ac:dyDescent="0.25">
      <c r="A4" s="33" t="s">
        <v>381</v>
      </c>
      <c r="B4" s="28">
        <f>SUM(B5:B11)</f>
        <v>307397.36250000005</v>
      </c>
      <c r="C4" s="29"/>
      <c r="D4" s="34">
        <v>1000</v>
      </c>
      <c r="E4" s="31">
        <f t="shared" ref="E4:U4" si="5">SUMPRODUCT($C5:$C11,E5:E11)</f>
        <v>514.44877423598587</v>
      </c>
      <c r="F4" s="31">
        <f t="shared" si="5"/>
        <v>485.55122576401408</v>
      </c>
      <c r="G4" s="31">
        <f t="shared" si="5"/>
        <v>93.006455653958298</v>
      </c>
      <c r="H4" s="31">
        <f t="shared" si="5"/>
        <v>148.00413018182613</v>
      </c>
      <c r="I4" s="31">
        <f t="shared" si="5"/>
        <v>249.46503843051022</v>
      </c>
      <c r="J4" s="31">
        <f t="shared" si="5"/>
        <v>246.32998652192398</v>
      </c>
      <c r="K4" s="31">
        <f t="shared" si="5"/>
        <v>263.23527563936074</v>
      </c>
      <c r="L4" s="31">
        <f t="shared" si="5"/>
        <v>134.45606206172147</v>
      </c>
      <c r="M4" s="31">
        <f t="shared" si="5"/>
        <v>262.02749518882905</v>
      </c>
      <c r="N4" s="31">
        <f t="shared" si="5"/>
        <v>247.10533458888571</v>
      </c>
      <c r="O4" s="31">
        <f t="shared" si="5"/>
        <v>413.19681984584361</v>
      </c>
      <c r="P4" s="31">
        <f t="shared" si="5"/>
        <v>363.38038422174156</v>
      </c>
      <c r="Q4" s="31">
        <f t="shared" si="5"/>
        <v>223.0576574270379</v>
      </c>
      <c r="R4" s="31">
        <f t="shared" si="5"/>
        <v>249.99999999999997</v>
      </c>
      <c r="S4" s="31">
        <f t="shared" si="5"/>
        <v>249.99999999999997</v>
      </c>
      <c r="T4" s="31">
        <f t="shared" si="5"/>
        <v>249.99999999999997</v>
      </c>
      <c r="U4" s="31">
        <f t="shared" si="5"/>
        <v>249.99999999999997</v>
      </c>
      <c r="V4" s="35"/>
      <c r="W4" s="35"/>
      <c r="X4" s="35"/>
      <c r="Y4" s="35"/>
      <c r="Z4" s="35"/>
      <c r="AA4" s="29"/>
      <c r="AB4" s="29"/>
      <c r="AC4" s="29"/>
      <c r="AD4" s="29"/>
      <c r="AE4" s="28">
        <f>$C$5*$D4</f>
        <v>177.57146501216317</v>
      </c>
      <c r="AF4" s="28">
        <f>$C$6*$D4</f>
        <v>226.03316903865755</v>
      </c>
      <c r="AG4" s="28">
        <f>$C$7*$D4</f>
        <v>162.78929523996808</v>
      </c>
      <c r="AH4" s="28">
        <f>$C$8*$D4</f>
        <v>103.12319449390199</v>
      </c>
      <c r="AI4" s="28">
        <f>$C$9*$D4</f>
        <v>130.22154508563813</v>
      </c>
      <c r="AJ4" s="28">
        <f>$C$10*$D4</f>
        <v>176.57737222777891</v>
      </c>
      <c r="AK4" s="28">
        <f>$C$11*$D4</f>
        <v>23.683958901892005</v>
      </c>
      <c r="AL4" s="31">
        <f t="shared" ref="AL4:BD4" si="6">SUMPRODUCT($C5:$C11,AL5:AL11)</f>
        <v>21.002680473714211</v>
      </c>
      <c r="AM4" s="31">
        <f t="shared" si="6"/>
        <v>40.67475442604033</v>
      </c>
      <c r="AN4" s="31">
        <f t="shared" si="6"/>
        <v>38.289417403345475</v>
      </c>
      <c r="AO4" s="31">
        <f t="shared" si="6"/>
        <v>390.41292210826953</v>
      </c>
      <c r="AP4" s="31">
        <f t="shared" si="6"/>
        <v>173.02960353636735</v>
      </c>
      <c r="AQ4" s="31">
        <f t="shared" si="6"/>
        <v>147.1385971846131</v>
      </c>
      <c r="AR4" s="31">
        <f t="shared" si="6"/>
        <v>115.81317436642611</v>
      </c>
      <c r="AS4" s="31">
        <f t="shared" si="6"/>
        <v>25.590384501429199</v>
      </c>
      <c r="AT4" s="31">
        <f t="shared" si="6"/>
        <v>498.21265788281926</v>
      </c>
      <c r="AU4" s="31">
        <f t="shared" si="6"/>
        <v>18.589594601352506</v>
      </c>
      <c r="AV4" s="31">
        <f t="shared" si="6"/>
        <v>5.0901024015780214</v>
      </c>
      <c r="AW4" s="31">
        <f t="shared" si="6"/>
        <v>77.320523256604048</v>
      </c>
      <c r="AX4" s="31">
        <f t="shared" si="6"/>
        <v>370.75762532022372</v>
      </c>
      <c r="AY4" s="31">
        <f t="shared" si="6"/>
        <v>326.47025188187808</v>
      </c>
      <c r="AZ4" s="31">
        <f t="shared" si="6"/>
        <v>276.52872312543019</v>
      </c>
      <c r="BA4" s="31">
        <f t="shared" si="6"/>
        <v>219.68486423947854</v>
      </c>
      <c r="BB4" s="31">
        <f t="shared" si="6"/>
        <v>191.55033567323653</v>
      </c>
      <c r="BC4" s="31">
        <f t="shared" si="6"/>
        <v>150.31345253283459</v>
      </c>
      <c r="BD4" s="31">
        <f t="shared" si="6"/>
        <v>424.64112632374963</v>
      </c>
      <c r="BE4" s="29">
        <f t="shared" si="4"/>
        <v>13.810221230700677</v>
      </c>
      <c r="BF4" s="32" t="s">
        <v>1244</v>
      </c>
      <c r="BG4" s="32" t="s">
        <v>1245</v>
      </c>
      <c r="BH4" s="32" t="s">
        <v>1246</v>
      </c>
      <c r="BI4" s="32" t="s">
        <v>374</v>
      </c>
      <c r="BJ4" s="32"/>
      <c r="BK4" s="32"/>
      <c r="BL4" s="32" t="s">
        <v>1079</v>
      </c>
    </row>
    <row r="5" spans="1:64" s="8" customFormat="1" x14ac:dyDescent="0.25">
      <c r="A5" s="32" t="s">
        <v>8</v>
      </c>
      <c r="B5" s="36">
        <v>54585</v>
      </c>
      <c r="C5" s="37">
        <f t="shared" ref="C5:C11" si="7">B5/$B$4</f>
        <v>0.17757146501216317</v>
      </c>
      <c r="D5" s="3">
        <v>798</v>
      </c>
      <c r="E5" s="36">
        <v>522</v>
      </c>
      <c r="F5" s="36">
        <v>478</v>
      </c>
      <c r="G5" s="38">
        <v>104</v>
      </c>
      <c r="H5" s="38">
        <v>146</v>
      </c>
      <c r="I5" s="38">
        <v>235</v>
      </c>
      <c r="J5" s="38">
        <v>242</v>
      </c>
      <c r="K5" s="38">
        <v>273</v>
      </c>
      <c r="L5" s="39">
        <f t="shared" ref="L5:N5" si="8">AL5*SUM($H5:$J5)/100</f>
        <v>101.54899999999999</v>
      </c>
      <c r="M5" s="39">
        <f t="shared" si="8"/>
        <v>256.67600000000004</v>
      </c>
      <c r="N5" s="39">
        <f t="shared" si="8"/>
        <v>264.15199999999999</v>
      </c>
      <c r="O5" s="40">
        <v>465</v>
      </c>
      <c r="P5" s="40">
        <v>194</v>
      </c>
      <c r="Q5" s="40">
        <v>341</v>
      </c>
      <c r="R5" s="29">
        <v>250</v>
      </c>
      <c r="S5" s="29">
        <v>250</v>
      </c>
      <c r="T5" s="29">
        <v>250</v>
      </c>
      <c r="U5" s="29">
        <v>250</v>
      </c>
      <c r="V5" s="41">
        <v>182</v>
      </c>
      <c r="W5" s="41">
        <v>222</v>
      </c>
      <c r="X5" s="41">
        <v>107</v>
      </c>
      <c r="Y5" s="41">
        <v>210</v>
      </c>
      <c r="Z5" s="41">
        <v>279</v>
      </c>
      <c r="AA5" s="29"/>
      <c r="AB5" s="29"/>
      <c r="AC5" s="29"/>
      <c r="AD5" s="29"/>
      <c r="AE5" s="29"/>
      <c r="AF5" s="29"/>
      <c r="AG5" s="29"/>
      <c r="AH5" s="32"/>
      <c r="AI5" s="32"/>
      <c r="AJ5" s="32"/>
      <c r="AK5" s="28"/>
      <c r="AL5" s="28">
        <v>16.3</v>
      </c>
      <c r="AM5" s="28">
        <v>41.2</v>
      </c>
      <c r="AN5" s="28">
        <v>42.4</v>
      </c>
      <c r="AO5" s="38">
        <v>595</v>
      </c>
      <c r="AP5" s="38">
        <v>184</v>
      </c>
      <c r="AQ5" s="38">
        <v>222</v>
      </c>
      <c r="AR5" s="42">
        <f t="shared" ref="AR5:AR15" si="9">SUM($H$5:$J$5)*AU5/100</f>
        <v>115.87800000000001</v>
      </c>
      <c r="AS5" s="42">
        <f t="shared" ref="AS5:AS15" si="10">SUM($H$5:$J$5)*AV5*(100-AU5)/10000</f>
        <v>31.441564</v>
      </c>
      <c r="AT5" s="42">
        <f>SUM($H$5:$J$5)*AW5/100</f>
        <v>475.97200000000004</v>
      </c>
      <c r="AU5" s="43">
        <v>18.600000000000001</v>
      </c>
      <c r="AV5" s="43">
        <v>6.2</v>
      </c>
      <c r="AW5" s="38">
        <v>76.400000000000006</v>
      </c>
      <c r="AX5" s="44">
        <v>335.79999999999995</v>
      </c>
      <c r="AY5" s="44">
        <v>242.00000000000003</v>
      </c>
      <c r="AZ5" s="44">
        <v>368.40000000000003</v>
      </c>
      <c r="BA5" s="44">
        <v>172.90342000000001</v>
      </c>
      <c r="BB5" s="44">
        <v>124.60580000000002</v>
      </c>
      <c r="BC5" s="44">
        <v>189.68916000000002</v>
      </c>
      <c r="BD5" s="31">
        <v>485.09999999999997</v>
      </c>
      <c r="BE5" s="29">
        <f t="shared" si="4"/>
        <v>27.701620000000048</v>
      </c>
      <c r="BF5" s="32" t="s">
        <v>1247</v>
      </c>
      <c r="BG5" s="32" t="s">
        <v>1248</v>
      </c>
      <c r="BH5" s="32" t="s">
        <v>1249</v>
      </c>
      <c r="BI5" s="32" t="s">
        <v>369</v>
      </c>
      <c r="BJ5" s="32"/>
      <c r="BK5" s="32"/>
      <c r="BL5" s="32"/>
    </row>
    <row r="6" spans="1:64" s="8" customFormat="1" x14ac:dyDescent="0.25">
      <c r="A6" s="32" t="s">
        <v>4</v>
      </c>
      <c r="B6" s="36">
        <v>69482</v>
      </c>
      <c r="C6" s="37">
        <f t="shared" si="7"/>
        <v>0.22603316903865756</v>
      </c>
      <c r="D6" s="3">
        <v>1048</v>
      </c>
      <c r="E6" s="38">
        <v>511</v>
      </c>
      <c r="F6" s="38">
        <v>489</v>
      </c>
      <c r="G6" s="38">
        <v>87</v>
      </c>
      <c r="H6" s="45">
        <v>148</v>
      </c>
      <c r="I6" s="45">
        <v>228</v>
      </c>
      <c r="J6" s="45">
        <v>268</v>
      </c>
      <c r="K6" s="45">
        <v>269</v>
      </c>
      <c r="L6" s="39">
        <f t="shared" ref="L6:N8" si="11">AL6*SUM($H6:$J6)/100</f>
        <v>107.54799999999999</v>
      </c>
      <c r="M6" s="39">
        <f t="shared" si="11"/>
        <v>321.35599999999999</v>
      </c>
      <c r="N6" s="39">
        <f t="shared" si="11"/>
        <v>215.09599999999998</v>
      </c>
      <c r="O6" s="38">
        <v>389</v>
      </c>
      <c r="P6" s="38">
        <v>424</v>
      </c>
      <c r="Q6" s="38">
        <v>186</v>
      </c>
      <c r="R6" s="29">
        <v>250</v>
      </c>
      <c r="S6" s="29">
        <v>250</v>
      </c>
      <c r="T6" s="29">
        <v>250</v>
      </c>
      <c r="U6" s="29">
        <v>250</v>
      </c>
      <c r="V6" s="46">
        <v>168</v>
      </c>
      <c r="W6" s="46">
        <v>293</v>
      </c>
      <c r="X6" s="31">
        <v>539</v>
      </c>
      <c r="Y6" s="47">
        <v>0</v>
      </c>
      <c r="Z6" s="47">
        <v>0</v>
      </c>
      <c r="AA6" s="32"/>
      <c r="AB6" s="29"/>
      <c r="AC6" s="29"/>
      <c r="AD6" s="29"/>
      <c r="AE6" s="29"/>
      <c r="AF6" s="29"/>
      <c r="AG6" s="29"/>
      <c r="AH6" s="32"/>
      <c r="AI6" s="32"/>
      <c r="AJ6" s="32"/>
      <c r="AK6" s="28"/>
      <c r="AL6" s="28">
        <v>16.7</v>
      </c>
      <c r="AM6" s="28">
        <v>49.9</v>
      </c>
      <c r="AN6" s="28">
        <v>33.4</v>
      </c>
      <c r="AO6" s="38">
        <v>395</v>
      </c>
      <c r="AP6" s="38">
        <v>403</v>
      </c>
      <c r="AQ6" s="38">
        <v>202</v>
      </c>
      <c r="AR6" s="42">
        <f t="shared" si="9"/>
        <v>95.942000000000007</v>
      </c>
      <c r="AS6" s="42">
        <f t="shared" si="10"/>
        <v>14.757624</v>
      </c>
      <c r="AT6" s="42">
        <f>SUM($H$6:$J$6)*AW6/100</f>
        <v>530.01199999999994</v>
      </c>
      <c r="AU6" s="38">
        <v>15.4</v>
      </c>
      <c r="AV6" s="38">
        <v>2.8</v>
      </c>
      <c r="AW6" s="38">
        <v>82.3</v>
      </c>
      <c r="AX6" s="44">
        <v>408.00000000000006</v>
      </c>
      <c r="AY6" s="45">
        <v>379</v>
      </c>
      <c r="AZ6" s="45">
        <v>206</v>
      </c>
      <c r="BA6" s="44">
        <v>336.6</v>
      </c>
      <c r="BB6" s="44">
        <v>312.67500000000001</v>
      </c>
      <c r="BC6" s="44">
        <v>169.95000000000002</v>
      </c>
      <c r="BD6" s="31">
        <v>175</v>
      </c>
      <c r="BE6" s="29">
        <f t="shared" si="4"/>
        <v>5.7749999999998636</v>
      </c>
      <c r="BF6" s="32" t="s">
        <v>346</v>
      </c>
      <c r="BG6" s="32" t="s">
        <v>1250</v>
      </c>
      <c r="BH6" s="32" t="s">
        <v>348</v>
      </c>
      <c r="BI6" s="32" t="s">
        <v>369</v>
      </c>
      <c r="BJ6" s="32" t="s">
        <v>370</v>
      </c>
      <c r="BK6" s="32"/>
      <c r="BL6" s="32"/>
    </row>
    <row r="7" spans="1:64" s="8" customFormat="1" x14ac:dyDescent="0.25">
      <c r="A7" s="32" t="s">
        <v>5</v>
      </c>
      <c r="B7" s="36">
        <v>50041</v>
      </c>
      <c r="C7" s="37">
        <f t="shared" si="7"/>
        <v>0.16278929523996807</v>
      </c>
      <c r="D7" s="3">
        <v>756</v>
      </c>
      <c r="E7" s="36">
        <v>515</v>
      </c>
      <c r="F7" s="36">
        <v>485</v>
      </c>
      <c r="G7" s="36">
        <v>82</v>
      </c>
      <c r="H7" s="36">
        <v>124</v>
      </c>
      <c r="I7" s="36">
        <v>228</v>
      </c>
      <c r="J7" s="36">
        <v>278</v>
      </c>
      <c r="K7" s="36">
        <v>287</v>
      </c>
      <c r="L7" s="39">
        <f t="shared" si="11"/>
        <v>217.35</v>
      </c>
      <c r="M7" s="39">
        <f t="shared" si="11"/>
        <v>276.57</v>
      </c>
      <c r="N7" s="39">
        <f t="shared" si="11"/>
        <v>136.08000000000001</v>
      </c>
      <c r="O7" s="38">
        <v>359</v>
      </c>
      <c r="P7" s="38">
        <v>458</v>
      </c>
      <c r="Q7" s="38">
        <v>182</v>
      </c>
      <c r="R7" s="29">
        <v>250</v>
      </c>
      <c r="S7" s="29">
        <v>250</v>
      </c>
      <c r="T7" s="29">
        <v>250</v>
      </c>
      <c r="U7" s="29">
        <v>250</v>
      </c>
      <c r="V7" s="46">
        <v>655</v>
      </c>
      <c r="W7" s="46">
        <f>0.3449462*1000</f>
        <v>344.94619999999998</v>
      </c>
      <c r="X7" s="31">
        <v>0</v>
      </c>
      <c r="Y7" s="47">
        <v>0</v>
      </c>
      <c r="Z7" s="47">
        <v>0</v>
      </c>
      <c r="AA7" s="32"/>
      <c r="AB7" s="29"/>
      <c r="AC7" s="29"/>
      <c r="AD7" s="29"/>
      <c r="AE7" s="29"/>
      <c r="AF7" s="29"/>
      <c r="AG7" s="29"/>
      <c r="AH7" s="32"/>
      <c r="AI7" s="32"/>
      <c r="AJ7" s="32"/>
      <c r="AK7" s="28"/>
      <c r="AL7" s="28">
        <v>34.5</v>
      </c>
      <c r="AM7" s="28">
        <v>43.9</v>
      </c>
      <c r="AN7" s="28">
        <v>21.6</v>
      </c>
      <c r="AO7" s="32"/>
      <c r="AP7" s="32"/>
      <c r="AQ7" s="32"/>
      <c r="AR7" s="42">
        <f t="shared" si="9"/>
        <v>161.357</v>
      </c>
      <c r="AS7" s="42">
        <f t="shared" si="10"/>
        <v>31.391723999999993</v>
      </c>
      <c r="AT7" s="42">
        <f>SUM($H$7:$J$7)*AW7/100</f>
        <v>435.33</v>
      </c>
      <c r="AU7" s="48">
        <v>25.9</v>
      </c>
      <c r="AV7" s="43">
        <v>6.8</v>
      </c>
      <c r="AW7" s="38">
        <v>69.099999999999994</v>
      </c>
      <c r="AX7" s="44">
        <v>430.90000000000003</v>
      </c>
      <c r="AY7" s="44">
        <v>167.2</v>
      </c>
      <c r="AZ7" s="44">
        <v>389.4</v>
      </c>
      <c r="BA7" s="44">
        <v>208.16779000000002</v>
      </c>
      <c r="BB7" s="44">
        <v>80.774320000000003</v>
      </c>
      <c r="BC7" s="44">
        <v>188.11913999999999</v>
      </c>
      <c r="BD7" s="31">
        <v>516.9</v>
      </c>
      <c r="BE7" s="29">
        <f t="shared" si="4"/>
        <v>6.03875000000005</v>
      </c>
      <c r="BF7" s="32"/>
      <c r="BG7" s="32"/>
      <c r="BH7" s="32"/>
      <c r="BI7" s="32"/>
      <c r="BJ7" s="32"/>
      <c r="BK7" s="32"/>
      <c r="BL7" s="32"/>
    </row>
    <row r="8" spans="1:64" s="8" customFormat="1" x14ac:dyDescent="0.25">
      <c r="A8" s="49" t="s">
        <v>6</v>
      </c>
      <c r="B8" s="28">
        <v>31699.797999999999</v>
      </c>
      <c r="C8" s="37">
        <f t="shared" si="7"/>
        <v>0.10312319449390199</v>
      </c>
      <c r="D8" s="3">
        <v>500</v>
      </c>
      <c r="E8" s="32">
        <v>524</v>
      </c>
      <c r="F8" s="32">
        <v>476</v>
      </c>
      <c r="G8" s="50">
        <v>81</v>
      </c>
      <c r="H8" s="50">
        <v>151</v>
      </c>
      <c r="I8" s="50">
        <v>296</v>
      </c>
      <c r="J8" s="50">
        <v>226</v>
      </c>
      <c r="K8" s="50">
        <v>245</v>
      </c>
      <c r="L8" s="39">
        <f t="shared" si="11"/>
        <v>38.360999999999997</v>
      </c>
      <c r="M8" s="39">
        <f t="shared" si="11"/>
        <v>379.57199999999995</v>
      </c>
      <c r="N8" s="39">
        <f t="shared" si="11"/>
        <v>255.06700000000001</v>
      </c>
      <c r="O8" s="38">
        <v>349</v>
      </c>
      <c r="P8" s="38">
        <v>280</v>
      </c>
      <c r="Q8" s="38">
        <v>371</v>
      </c>
      <c r="R8" s="29">
        <v>250</v>
      </c>
      <c r="S8" s="29">
        <v>250</v>
      </c>
      <c r="T8" s="29">
        <v>250</v>
      </c>
      <c r="U8" s="29">
        <v>250</v>
      </c>
      <c r="V8" s="46">
        <v>470</v>
      </c>
      <c r="W8" s="46">
        <v>530</v>
      </c>
      <c r="X8" s="31">
        <v>0</v>
      </c>
      <c r="Y8" s="47">
        <v>0</v>
      </c>
      <c r="Z8" s="47">
        <v>0</v>
      </c>
      <c r="AA8" s="49"/>
      <c r="AB8" s="29"/>
      <c r="AC8" s="29"/>
      <c r="AD8" s="29"/>
      <c r="AE8" s="29"/>
      <c r="AF8" s="29"/>
      <c r="AG8" s="29"/>
      <c r="AH8" s="49"/>
      <c r="AI8" s="49"/>
      <c r="AJ8" s="49"/>
      <c r="AK8" s="28"/>
      <c r="AL8" s="39">
        <v>5.7</v>
      </c>
      <c r="AM8" s="39">
        <v>56.4</v>
      </c>
      <c r="AN8" s="39">
        <v>37.9</v>
      </c>
      <c r="AO8" s="49"/>
      <c r="AP8" s="49"/>
      <c r="AQ8" s="49"/>
      <c r="AR8" s="42">
        <f t="shared" si="9"/>
        <v>112.14</v>
      </c>
      <c r="AS8" s="42">
        <f t="shared" si="10"/>
        <v>11.749779999999999</v>
      </c>
      <c r="AT8" s="42">
        <f>SUM($H$8:$J$8)*AW8/100</f>
        <v>537.72700000000009</v>
      </c>
      <c r="AU8" s="48">
        <v>18</v>
      </c>
      <c r="AV8" s="49">
        <v>2.2999999999999998</v>
      </c>
      <c r="AW8" s="38">
        <v>79.900000000000006</v>
      </c>
      <c r="AX8" s="31">
        <v>63</v>
      </c>
      <c r="AY8" s="31">
        <v>439.7</v>
      </c>
      <c r="AZ8" s="44">
        <v>482.4</v>
      </c>
      <c r="BA8" s="44">
        <v>25.609499999999997</v>
      </c>
      <c r="BB8" s="44">
        <v>178.73804999999999</v>
      </c>
      <c r="BC8" s="44">
        <v>196.09559999999996</v>
      </c>
      <c r="BD8" s="31">
        <v>593.5</v>
      </c>
      <c r="BE8" s="29">
        <f t="shared" si="4"/>
        <v>6.056850000000054</v>
      </c>
      <c r="BF8" s="38" t="s">
        <v>1251</v>
      </c>
      <c r="BG8" s="51" t="s">
        <v>1252</v>
      </c>
      <c r="BH8" s="49"/>
      <c r="BI8" s="52" t="s">
        <v>1253</v>
      </c>
      <c r="BJ8" s="49"/>
      <c r="BK8" s="49"/>
      <c r="BL8" s="49"/>
    </row>
    <row r="9" spans="1:64" s="8" customFormat="1" x14ac:dyDescent="0.25">
      <c r="A9" s="32" t="s">
        <v>16</v>
      </c>
      <c r="B9" s="28">
        <v>40029.7595</v>
      </c>
      <c r="C9" s="37">
        <f t="shared" si="7"/>
        <v>0.13022154508563813</v>
      </c>
      <c r="D9" s="3">
        <v>603</v>
      </c>
      <c r="E9" s="38">
        <v>510</v>
      </c>
      <c r="F9" s="32">
        <v>490</v>
      </c>
      <c r="G9" s="38">
        <v>95</v>
      </c>
      <c r="H9" s="38">
        <v>147</v>
      </c>
      <c r="I9" s="38">
        <v>305</v>
      </c>
      <c r="J9" s="38">
        <v>190</v>
      </c>
      <c r="K9" s="38">
        <v>264</v>
      </c>
      <c r="L9" s="39">
        <f t="shared" ref="L9:N9" si="12">AL9*SUM($H9:$J9)/100</f>
        <v>229.83599999999998</v>
      </c>
      <c r="M9" s="39">
        <f t="shared" si="12"/>
        <v>145.73400000000001</v>
      </c>
      <c r="N9" s="39">
        <f t="shared" si="12"/>
        <v>265.78800000000001</v>
      </c>
      <c r="O9" s="38">
        <v>541</v>
      </c>
      <c r="P9" s="38">
        <v>325</v>
      </c>
      <c r="Q9" s="38">
        <v>134</v>
      </c>
      <c r="R9" s="29">
        <v>250</v>
      </c>
      <c r="S9" s="29">
        <v>250</v>
      </c>
      <c r="T9" s="29">
        <v>250</v>
      </c>
      <c r="U9" s="29">
        <v>250</v>
      </c>
      <c r="V9" s="46">
        <v>148</v>
      </c>
      <c r="W9" s="46">
        <v>277</v>
      </c>
      <c r="X9" s="31">
        <v>142</v>
      </c>
      <c r="Y9" s="47">
        <v>182</v>
      </c>
      <c r="Z9" s="47">
        <v>251</v>
      </c>
      <c r="AA9" s="32"/>
      <c r="AB9" s="53"/>
      <c r="AC9" s="32"/>
      <c r="AD9" s="32"/>
      <c r="AE9" s="32"/>
      <c r="AF9" s="32"/>
      <c r="AG9" s="32"/>
      <c r="AH9" s="32"/>
      <c r="AI9" s="32"/>
      <c r="AJ9" s="32"/>
      <c r="AK9" s="28"/>
      <c r="AL9" s="28">
        <v>35.799999999999997</v>
      </c>
      <c r="AM9" s="28">
        <v>22.7</v>
      </c>
      <c r="AN9" s="28">
        <v>41.4</v>
      </c>
      <c r="AO9" s="38">
        <v>697</v>
      </c>
      <c r="AP9" s="32"/>
      <c r="AQ9" s="38">
        <v>303</v>
      </c>
      <c r="AR9" s="42">
        <f t="shared" si="9"/>
        <v>109.64800000000001</v>
      </c>
      <c r="AS9" s="42">
        <f t="shared" si="10"/>
        <v>56.468720000000005</v>
      </c>
      <c r="AT9" s="42">
        <f>SUM($H$9:$J$9)*AW9/100</f>
        <v>470.58600000000001</v>
      </c>
      <c r="AU9" s="43">
        <v>17.600000000000001</v>
      </c>
      <c r="AV9" s="38">
        <v>11</v>
      </c>
      <c r="AW9" s="38">
        <v>73.3</v>
      </c>
      <c r="AX9" s="44">
        <v>430.7</v>
      </c>
      <c r="AY9" s="44">
        <v>383.60000000000008</v>
      </c>
      <c r="AZ9" s="44">
        <v>142.10000000000002</v>
      </c>
      <c r="BA9" s="44">
        <v>199.80172999999999</v>
      </c>
      <c r="BB9" s="44">
        <v>177.95204000000004</v>
      </c>
      <c r="BC9" s="44">
        <v>65.920190000000005</v>
      </c>
      <c r="BD9" s="31">
        <v>536.1</v>
      </c>
      <c r="BE9" s="29">
        <f t="shared" si="4"/>
        <v>20.226040000000012</v>
      </c>
      <c r="BF9" s="32" t="s">
        <v>1254</v>
      </c>
      <c r="BG9" s="32"/>
      <c r="BH9" s="32" t="s">
        <v>1255</v>
      </c>
      <c r="BI9" s="32" t="s">
        <v>369</v>
      </c>
      <c r="BJ9" s="32" t="s">
        <v>371</v>
      </c>
      <c r="BK9" s="32"/>
      <c r="BL9" s="32"/>
    </row>
    <row r="10" spans="1:64" s="8" customFormat="1" x14ac:dyDescent="0.25">
      <c r="A10" s="54" t="s">
        <v>17</v>
      </c>
      <c r="B10" s="28">
        <v>54279.4185</v>
      </c>
      <c r="C10" s="37">
        <f t="shared" si="7"/>
        <v>0.17657737222777892</v>
      </c>
      <c r="D10" s="3">
        <v>826</v>
      </c>
      <c r="E10" s="38">
        <v>510</v>
      </c>
      <c r="F10" s="38">
        <v>490</v>
      </c>
      <c r="G10" s="38">
        <v>106</v>
      </c>
      <c r="H10" s="38">
        <v>169</v>
      </c>
      <c r="I10" s="38">
        <v>242</v>
      </c>
      <c r="J10" s="38">
        <v>246</v>
      </c>
      <c r="K10" s="38">
        <v>238</v>
      </c>
      <c r="L10" s="39">
        <f t="shared" ref="L10:N10" si="13">AL10*SUM($H10:$J10)/100</f>
        <v>116.946</v>
      </c>
      <c r="M10" s="39">
        <f t="shared" si="13"/>
        <v>193.815</v>
      </c>
      <c r="N10" s="39">
        <f t="shared" si="13"/>
        <v>346.23900000000003</v>
      </c>
      <c r="O10" s="55">
        <v>401</v>
      </c>
      <c r="P10" s="56">
        <v>423</v>
      </c>
      <c r="Q10" s="55">
        <v>176</v>
      </c>
      <c r="R10" s="29">
        <v>250</v>
      </c>
      <c r="S10" s="29">
        <v>250</v>
      </c>
      <c r="T10" s="29">
        <v>250</v>
      </c>
      <c r="U10" s="29">
        <v>250</v>
      </c>
      <c r="V10" s="46">
        <v>129.69999999999999</v>
      </c>
      <c r="W10" s="46">
        <v>312.2</v>
      </c>
      <c r="X10" s="31">
        <v>209.5</v>
      </c>
      <c r="Y10" s="47">
        <v>236.51</v>
      </c>
      <c r="Z10" s="47">
        <v>112.1</v>
      </c>
      <c r="AA10" s="32"/>
      <c r="AB10" s="29"/>
      <c r="AC10" s="29"/>
      <c r="AD10" s="32"/>
      <c r="AE10" s="32"/>
      <c r="AF10" s="32"/>
      <c r="AG10" s="32"/>
      <c r="AH10" s="32"/>
      <c r="AI10" s="32"/>
      <c r="AJ10" s="32"/>
      <c r="AK10" s="28"/>
      <c r="AL10" s="28">
        <v>17.8</v>
      </c>
      <c r="AM10" s="28">
        <v>29.5</v>
      </c>
      <c r="AN10" s="28">
        <v>52.7</v>
      </c>
      <c r="AO10" s="38">
        <v>593</v>
      </c>
      <c r="AP10" s="38">
        <v>279</v>
      </c>
      <c r="AQ10" s="38">
        <v>128</v>
      </c>
      <c r="AR10" s="42">
        <f t="shared" si="9"/>
        <v>110.89399999999999</v>
      </c>
      <c r="AS10" s="42">
        <f t="shared" si="10"/>
        <v>14.338967999999999</v>
      </c>
      <c r="AT10" s="42">
        <f>SUM($H$10:$J$10)*AW10/100</f>
        <v>525.6</v>
      </c>
      <c r="AU10" s="43">
        <v>17.8</v>
      </c>
      <c r="AV10" s="38">
        <v>2.8</v>
      </c>
      <c r="AW10" s="38">
        <v>80</v>
      </c>
      <c r="AX10" s="44">
        <v>440.3</v>
      </c>
      <c r="AY10" s="44">
        <v>384.3</v>
      </c>
      <c r="AZ10" s="44">
        <v>148.89999999999998</v>
      </c>
      <c r="BA10" s="44">
        <v>262.85910000000001</v>
      </c>
      <c r="BB10" s="44">
        <v>229.42710000000002</v>
      </c>
      <c r="BC10" s="44">
        <v>88.893299999999996</v>
      </c>
      <c r="BD10" s="31">
        <v>403</v>
      </c>
      <c r="BE10" s="29">
        <f t="shared" si="4"/>
        <v>15.820500000000038</v>
      </c>
      <c r="BF10" s="32" t="s">
        <v>1256</v>
      </c>
      <c r="BG10" s="32" t="s">
        <v>1257</v>
      </c>
      <c r="BH10" s="32" t="s">
        <v>1258</v>
      </c>
      <c r="BI10" s="32" t="s">
        <v>372</v>
      </c>
      <c r="BJ10" s="32" t="s">
        <v>369</v>
      </c>
      <c r="BK10" s="32" t="s">
        <v>373</v>
      </c>
      <c r="BL10" s="32"/>
    </row>
    <row r="11" spans="1:64" s="8" customFormat="1" x14ac:dyDescent="0.25">
      <c r="A11" s="32" t="s">
        <v>18</v>
      </c>
      <c r="B11" s="28">
        <v>7280.3864999999996</v>
      </c>
      <c r="C11" s="37">
        <f t="shared" si="7"/>
        <v>2.3683958901892004E-2</v>
      </c>
      <c r="D11" s="3">
        <v>469</v>
      </c>
      <c r="E11" s="38">
        <v>503</v>
      </c>
      <c r="F11" s="38">
        <v>497</v>
      </c>
      <c r="G11" s="32">
        <v>88</v>
      </c>
      <c r="H11" s="32">
        <v>164</v>
      </c>
      <c r="I11" s="32">
        <v>258</v>
      </c>
      <c r="J11" s="32">
        <v>255</v>
      </c>
      <c r="K11" s="32">
        <v>235</v>
      </c>
      <c r="L11" s="39">
        <f t="shared" ref="L11:N11" si="14">AL11*SUM($H11:$J11)/100</f>
        <v>92.748999999999995</v>
      </c>
      <c r="M11" s="39">
        <f t="shared" si="14"/>
        <v>272.154</v>
      </c>
      <c r="N11" s="39">
        <f t="shared" si="14"/>
        <v>311.42</v>
      </c>
      <c r="O11" s="36">
        <v>296</v>
      </c>
      <c r="P11" s="36">
        <v>534</v>
      </c>
      <c r="Q11" s="36">
        <v>171</v>
      </c>
      <c r="R11" s="29">
        <v>250</v>
      </c>
      <c r="S11" s="29">
        <v>250</v>
      </c>
      <c r="T11" s="29">
        <v>250</v>
      </c>
      <c r="U11" s="29">
        <v>250</v>
      </c>
      <c r="V11" s="46">
        <v>700</v>
      </c>
      <c r="W11" s="46">
        <v>260</v>
      </c>
      <c r="X11" s="31">
        <v>40</v>
      </c>
      <c r="Y11" s="47">
        <v>0</v>
      </c>
      <c r="Z11" s="47">
        <v>0</v>
      </c>
      <c r="AA11" s="32"/>
      <c r="AB11" s="29"/>
      <c r="AC11" s="29"/>
      <c r="AD11" s="32"/>
      <c r="AE11" s="32"/>
      <c r="AF11" s="32"/>
      <c r="AG11" s="32"/>
      <c r="AH11" s="32"/>
      <c r="AI11" s="32"/>
      <c r="AJ11" s="32"/>
      <c r="AK11" s="28"/>
      <c r="AL11" s="28">
        <v>13.7</v>
      </c>
      <c r="AM11" s="28">
        <v>40.200000000000003</v>
      </c>
      <c r="AN11" s="28">
        <v>46</v>
      </c>
      <c r="AO11" s="32"/>
      <c r="AP11" s="32"/>
      <c r="AQ11" s="32"/>
      <c r="AR11" s="42">
        <f t="shared" si="9"/>
        <v>78.498000000000005</v>
      </c>
      <c r="AS11" s="42">
        <f t="shared" si="10"/>
        <v>19.602072000000003</v>
      </c>
      <c r="AT11" s="42">
        <f>SUM($H$11:$J$11)*AW11/100</f>
        <v>569.35699999999997</v>
      </c>
      <c r="AU11" s="41">
        <v>12.6</v>
      </c>
      <c r="AV11" s="41">
        <v>3.6</v>
      </c>
      <c r="AW11" s="38">
        <v>84.1</v>
      </c>
      <c r="AX11" s="44">
        <v>355.99999999999994</v>
      </c>
      <c r="AY11" s="44">
        <v>314.90000000000003</v>
      </c>
      <c r="AZ11" s="44">
        <v>279.3</v>
      </c>
      <c r="BA11" s="44">
        <v>166.25199999999998</v>
      </c>
      <c r="BB11" s="44">
        <v>147.0583</v>
      </c>
      <c r="BC11" s="44">
        <v>130.43310000000002</v>
      </c>
      <c r="BD11" s="44">
        <v>533</v>
      </c>
      <c r="BE11" s="29">
        <f t="shared" si="4"/>
        <v>23.256599999999935</v>
      </c>
      <c r="BF11" s="32"/>
      <c r="BG11" s="32"/>
      <c r="BH11" s="32"/>
      <c r="BI11" s="32"/>
      <c r="BJ11" s="32"/>
      <c r="BK11" s="32"/>
      <c r="BL11" s="32"/>
    </row>
    <row r="12" spans="1:64" s="8" customFormat="1" x14ac:dyDescent="0.25">
      <c r="A12" s="32" t="s">
        <v>7</v>
      </c>
      <c r="B12" s="29">
        <v>106513.224</v>
      </c>
      <c r="C12" s="57"/>
      <c r="D12" s="28">
        <v>1000</v>
      </c>
      <c r="E12" s="32">
        <v>514</v>
      </c>
      <c r="F12" s="32">
        <v>486</v>
      </c>
      <c r="G12" s="32">
        <v>79</v>
      </c>
      <c r="H12" s="32">
        <v>120</v>
      </c>
      <c r="I12" s="32">
        <v>224</v>
      </c>
      <c r="J12" s="32">
        <v>238</v>
      </c>
      <c r="K12" s="32">
        <v>339</v>
      </c>
      <c r="L12" s="39">
        <f t="shared" ref="L12:N12" si="15">AL12*SUM($H12:$J12)/100</f>
        <v>0</v>
      </c>
      <c r="M12" s="39">
        <f t="shared" si="15"/>
        <v>256.08</v>
      </c>
      <c r="N12" s="39">
        <f t="shared" si="15"/>
        <v>323.59199999999998</v>
      </c>
      <c r="O12" s="32">
        <v>920</v>
      </c>
      <c r="P12" s="32">
        <v>80</v>
      </c>
      <c r="Q12" s="58">
        <v>0</v>
      </c>
      <c r="R12" s="29">
        <v>250</v>
      </c>
      <c r="S12" s="29">
        <v>250</v>
      </c>
      <c r="T12" s="29">
        <v>250</v>
      </c>
      <c r="U12" s="29">
        <v>250</v>
      </c>
      <c r="V12" s="46">
        <v>171.87</v>
      </c>
      <c r="W12" s="46">
        <v>172.97</v>
      </c>
      <c r="X12" s="31">
        <v>342.99</v>
      </c>
      <c r="Y12" s="47">
        <v>108.51</v>
      </c>
      <c r="Z12" s="47">
        <v>203.64</v>
      </c>
      <c r="AA12" s="32"/>
      <c r="AB12" s="53"/>
      <c r="AC12" s="32"/>
      <c r="AD12" s="32"/>
      <c r="AE12" s="32"/>
      <c r="AF12" s="32"/>
      <c r="AG12" s="32"/>
      <c r="AH12" s="32"/>
      <c r="AI12" s="32"/>
      <c r="AJ12" s="32"/>
      <c r="AK12" s="28"/>
      <c r="AL12" s="28"/>
      <c r="AM12" s="28">
        <v>44</v>
      </c>
      <c r="AN12" s="28">
        <v>55.6</v>
      </c>
      <c r="AO12" s="32"/>
      <c r="AP12" s="32"/>
      <c r="AQ12" s="32"/>
      <c r="AR12" s="42">
        <f t="shared" si="9"/>
        <v>79.744</v>
      </c>
      <c r="AS12" s="42">
        <f t="shared" si="10"/>
        <v>14.124656</v>
      </c>
      <c r="AT12" s="42">
        <f>SUM($H$12:$J$12)*AW12/100</f>
        <v>493.536</v>
      </c>
      <c r="AU12" s="53">
        <v>12.8</v>
      </c>
      <c r="AV12" s="41">
        <v>2.6</v>
      </c>
      <c r="AW12" s="38">
        <v>84.8</v>
      </c>
      <c r="AX12" s="44">
        <v>360.50000000000006</v>
      </c>
      <c r="AY12" s="44">
        <v>583.40000000000009</v>
      </c>
      <c r="AZ12" s="44">
        <v>55.300000000000004</v>
      </c>
      <c r="BA12" s="44">
        <v>193.94900000000001</v>
      </c>
      <c r="BB12" s="44">
        <v>313.86919999999998</v>
      </c>
      <c r="BC12" s="44">
        <v>29.7514</v>
      </c>
      <c r="BD12" s="44">
        <v>462</v>
      </c>
      <c r="BE12" s="29">
        <f t="shared" si="4"/>
        <v>0.43039999999996326</v>
      </c>
      <c r="BF12" s="32" t="s">
        <v>1259</v>
      </c>
      <c r="BG12" s="32"/>
      <c r="BH12" s="32" t="s">
        <v>1260</v>
      </c>
      <c r="BI12" s="32"/>
      <c r="BJ12" s="32"/>
      <c r="BK12" s="32"/>
      <c r="BL12" s="32"/>
    </row>
    <row r="13" spans="1:64" s="8" customFormat="1" x14ac:dyDescent="0.25">
      <c r="A13" s="32" t="s">
        <v>19</v>
      </c>
      <c r="B13" s="29">
        <v>115259.251</v>
      </c>
      <c r="C13" s="57"/>
      <c r="D13" s="28">
        <v>1000</v>
      </c>
      <c r="E13" s="32">
        <v>540</v>
      </c>
      <c r="F13" s="32">
        <v>460</v>
      </c>
      <c r="G13" s="32">
        <v>89</v>
      </c>
      <c r="H13" s="32">
        <v>160</v>
      </c>
      <c r="I13" s="32">
        <v>297</v>
      </c>
      <c r="J13" s="32">
        <v>247</v>
      </c>
      <c r="K13" s="32">
        <v>207</v>
      </c>
      <c r="L13" s="39">
        <f t="shared" ref="L13:N13" si="16">AL13*10</f>
        <v>98.4</v>
      </c>
      <c r="M13" s="39">
        <f t="shared" si="16"/>
        <v>623.9</v>
      </c>
      <c r="N13" s="39">
        <f t="shared" si="16"/>
        <v>277.89999999999998</v>
      </c>
      <c r="O13" s="32">
        <v>749</v>
      </c>
      <c r="P13" s="54">
        <v>0</v>
      </c>
      <c r="Q13" s="32">
        <v>251</v>
      </c>
      <c r="R13" s="29">
        <v>250</v>
      </c>
      <c r="S13" s="29">
        <v>250</v>
      </c>
      <c r="T13" s="29">
        <v>250</v>
      </c>
      <c r="U13" s="29">
        <v>250</v>
      </c>
      <c r="V13" s="46">
        <v>127.71</v>
      </c>
      <c r="W13" s="46">
        <v>194.51</v>
      </c>
      <c r="X13" s="31">
        <v>483.88</v>
      </c>
      <c r="Y13" s="47">
        <v>193.9</v>
      </c>
      <c r="Z13" s="47">
        <v>0</v>
      </c>
      <c r="AA13" s="32"/>
      <c r="AB13" s="53"/>
      <c r="AC13" s="32"/>
      <c r="AE13" s="54"/>
      <c r="AF13" s="32"/>
      <c r="AG13" s="32"/>
      <c r="AH13" s="32"/>
      <c r="AI13" s="32"/>
      <c r="AJ13" s="32"/>
      <c r="AK13" s="28"/>
      <c r="AL13" s="29">
        <v>9.84</v>
      </c>
      <c r="AM13" s="29">
        <v>62.39</v>
      </c>
      <c r="AN13" s="29">
        <v>27.79</v>
      </c>
      <c r="AO13" s="32"/>
      <c r="AP13" s="32"/>
      <c r="AQ13" s="32"/>
      <c r="AR13" s="42">
        <f t="shared" si="9"/>
        <v>0</v>
      </c>
      <c r="AS13" s="42">
        <f t="shared" si="10"/>
        <v>20.559000000000001</v>
      </c>
      <c r="AT13" s="42">
        <f>SUM($H$13:$J$13)*AW13/100</f>
        <v>568.83199999999999</v>
      </c>
      <c r="AU13" s="53"/>
      <c r="AV13" s="41">
        <v>3.3</v>
      </c>
      <c r="AW13" s="38">
        <v>80.8</v>
      </c>
      <c r="AX13" s="53"/>
      <c r="AY13" s="53"/>
      <c r="AZ13" s="53"/>
      <c r="BA13" s="53"/>
      <c r="BB13" s="53"/>
      <c r="BC13" s="53"/>
      <c r="BD13" s="29"/>
      <c r="BE13" s="32"/>
      <c r="BF13" s="32" t="s">
        <v>1261</v>
      </c>
      <c r="BG13" s="32"/>
      <c r="BH13" s="32"/>
      <c r="BI13" s="32"/>
      <c r="BJ13" s="32"/>
      <c r="BK13" s="32"/>
      <c r="BL13" s="32"/>
    </row>
    <row r="14" spans="1:64" s="8" customFormat="1" x14ac:dyDescent="0.25">
      <c r="A14" s="32" t="s">
        <v>20</v>
      </c>
      <c r="B14" s="59">
        <v>23807.564999999999</v>
      </c>
      <c r="C14" s="57"/>
      <c r="D14" s="28">
        <v>1000</v>
      </c>
      <c r="E14" s="50">
        <v>334</v>
      </c>
      <c r="F14" s="50">
        <v>652</v>
      </c>
      <c r="G14" s="50">
        <v>153</v>
      </c>
      <c r="H14" s="50">
        <v>322</v>
      </c>
      <c r="I14" s="50">
        <v>359</v>
      </c>
      <c r="J14" s="50">
        <v>128</v>
      </c>
      <c r="K14" s="50">
        <v>38</v>
      </c>
      <c r="L14" s="39">
        <f t="shared" ref="L14:N14" si="17">AL14*SUM($H14:$J14)/100</f>
        <v>308.50306492999999</v>
      </c>
      <c r="M14" s="39">
        <f t="shared" si="17"/>
        <v>146.22794732</v>
      </c>
      <c r="N14" s="39">
        <f t="shared" si="17"/>
        <v>354.26897965999996</v>
      </c>
      <c r="O14" s="58">
        <v>0</v>
      </c>
      <c r="P14" s="54">
        <v>0</v>
      </c>
      <c r="Q14" s="54">
        <v>0</v>
      </c>
      <c r="R14" s="29">
        <v>250</v>
      </c>
      <c r="S14" s="29">
        <v>250</v>
      </c>
      <c r="T14" s="29">
        <v>250</v>
      </c>
      <c r="U14" s="29">
        <v>250</v>
      </c>
      <c r="V14" s="46">
        <v>136</v>
      </c>
      <c r="W14" s="46">
        <v>343</v>
      </c>
      <c r="X14" s="31">
        <v>362</v>
      </c>
      <c r="Y14" s="47">
        <v>159</v>
      </c>
      <c r="Z14" s="47">
        <v>0</v>
      </c>
      <c r="AA14" s="32">
        <v>244</v>
      </c>
      <c r="AB14" s="32">
        <v>104</v>
      </c>
      <c r="AC14" s="32">
        <v>241</v>
      </c>
      <c r="AD14" s="60">
        <v>411</v>
      </c>
      <c r="AF14" s="32"/>
      <c r="AG14" s="32"/>
      <c r="AH14" s="32"/>
      <c r="AI14" s="32"/>
      <c r="AJ14" s="32"/>
      <c r="AK14" s="28"/>
      <c r="AL14" s="29">
        <v>38.133876999999998</v>
      </c>
      <c r="AM14" s="29">
        <v>18.075147999999999</v>
      </c>
      <c r="AN14" s="29">
        <v>43.790973999999999</v>
      </c>
      <c r="AO14" s="32"/>
      <c r="AP14" s="32"/>
      <c r="AQ14" s="32"/>
      <c r="AR14" s="42">
        <f t="shared" si="9"/>
        <v>0</v>
      </c>
      <c r="AS14" s="42">
        <f t="shared" si="10"/>
        <v>0</v>
      </c>
      <c r="AT14" s="42">
        <f>SUM($H$14:$J$14)*AW14/100</f>
        <v>0</v>
      </c>
      <c r="AU14" s="53"/>
      <c r="AV14" s="53"/>
      <c r="AW14" s="38"/>
      <c r="AX14" s="61"/>
      <c r="AY14" s="61"/>
      <c r="AZ14" s="61"/>
      <c r="BA14" s="61"/>
      <c r="BB14" s="61"/>
      <c r="BC14" s="61"/>
      <c r="BD14" s="61"/>
      <c r="BE14" s="32"/>
      <c r="BF14" s="32" t="s">
        <v>1262</v>
      </c>
      <c r="BG14" s="32"/>
      <c r="BH14" s="32"/>
      <c r="BI14" s="52" t="s">
        <v>1263</v>
      </c>
      <c r="BJ14" s="32"/>
      <c r="BK14" s="32"/>
      <c r="BL14" s="32"/>
    </row>
    <row r="15" spans="1:64" s="8" customFormat="1" x14ac:dyDescent="0.25">
      <c r="A15" s="32" t="s">
        <v>1</v>
      </c>
      <c r="B15" s="29">
        <v>269365.15299999999</v>
      </c>
      <c r="C15" s="32"/>
      <c r="D15" s="28">
        <v>1000</v>
      </c>
      <c r="E15" s="31">
        <v>505</v>
      </c>
      <c r="F15" s="31">
        <v>495</v>
      </c>
      <c r="G15" s="31">
        <v>116</v>
      </c>
      <c r="H15" s="31">
        <v>173</v>
      </c>
      <c r="I15" s="31">
        <v>246</v>
      </c>
      <c r="J15" s="31">
        <v>238</v>
      </c>
      <c r="K15" s="31">
        <v>226</v>
      </c>
      <c r="L15" s="39">
        <f t="shared" ref="L15:N15" si="18">AL15*SUM($H15:$J15)/100</f>
        <v>52.56</v>
      </c>
      <c r="M15" s="39">
        <f t="shared" si="18"/>
        <v>271.34100000000001</v>
      </c>
      <c r="N15" s="39">
        <f t="shared" si="18"/>
        <v>333.09899999999999</v>
      </c>
      <c r="O15" s="31">
        <v>757</v>
      </c>
      <c r="P15" s="54">
        <v>0</v>
      </c>
      <c r="Q15" s="31">
        <v>243</v>
      </c>
      <c r="R15" s="29">
        <v>250</v>
      </c>
      <c r="S15" s="29">
        <v>250</v>
      </c>
      <c r="T15" s="29">
        <v>250</v>
      </c>
      <c r="U15" s="29">
        <v>250</v>
      </c>
      <c r="V15" s="46">
        <v>171</v>
      </c>
      <c r="W15" s="46">
        <v>208</v>
      </c>
      <c r="X15" s="38">
        <v>383</v>
      </c>
      <c r="Y15" s="38">
        <v>239</v>
      </c>
      <c r="Z15" s="54">
        <v>0</v>
      </c>
      <c r="AA15" s="31">
        <f>584</f>
        <v>584</v>
      </c>
      <c r="AB15" s="31">
        <v>195</v>
      </c>
      <c r="AC15" s="31">
        <v>137</v>
      </c>
      <c r="AD15" s="31">
        <v>88</v>
      </c>
      <c r="AE15" s="29"/>
      <c r="AF15" s="29"/>
      <c r="AG15" s="29"/>
      <c r="AH15" s="29"/>
      <c r="AI15" s="32"/>
      <c r="AJ15" s="32"/>
      <c r="AK15" s="28"/>
      <c r="AL15" s="28">
        <v>8</v>
      </c>
      <c r="AM15" s="28">
        <v>41.3</v>
      </c>
      <c r="AN15" s="28">
        <v>50.7</v>
      </c>
      <c r="AO15" s="32"/>
      <c r="AP15" s="32"/>
      <c r="AQ15" s="32"/>
      <c r="AR15" s="42">
        <f t="shared" si="9"/>
        <v>134.56800000000001</v>
      </c>
      <c r="AS15" s="42">
        <f t="shared" si="10"/>
        <v>14.65296</v>
      </c>
      <c r="AT15" s="42">
        <f>SUM($H$15:$J$15)*AW15/100</f>
        <v>503.26199999999994</v>
      </c>
      <c r="AU15" s="38">
        <v>21.6</v>
      </c>
      <c r="AV15" s="38">
        <v>3</v>
      </c>
      <c r="AW15" s="38">
        <v>76.599999999999994</v>
      </c>
      <c r="AX15" s="38">
        <v>483</v>
      </c>
      <c r="AY15" s="38">
        <v>499</v>
      </c>
      <c r="AZ15" s="38">
        <v>0</v>
      </c>
      <c r="BA15" s="44">
        <v>306.70499999999998</v>
      </c>
      <c r="BB15" s="44">
        <v>316.86500000000001</v>
      </c>
      <c r="BC15" s="45"/>
      <c r="BD15" s="31">
        <v>365</v>
      </c>
      <c r="BE15" s="29">
        <f>1000-SUM(BA15:BD15)</f>
        <v>11.430000000000064</v>
      </c>
      <c r="BF15" s="32" t="s">
        <v>375</v>
      </c>
      <c r="BG15" s="32"/>
      <c r="BH15" s="32"/>
      <c r="BI15" s="32" t="s">
        <v>375</v>
      </c>
      <c r="BJ15" s="32"/>
      <c r="BK15" s="32"/>
      <c r="BL15" s="32"/>
    </row>
    <row r="16" spans="1:64" s="8" customFormat="1" x14ac:dyDescent="0.25">
      <c r="A16" s="32"/>
      <c r="B16" s="32"/>
      <c r="C16" s="32"/>
      <c r="D16" s="32"/>
      <c r="E16" s="32"/>
      <c r="F16" s="32"/>
      <c r="G16" s="32"/>
      <c r="H16" s="39"/>
      <c r="I16" s="32"/>
      <c r="J16" s="32"/>
      <c r="K16" s="32"/>
      <c r="L16" s="49"/>
      <c r="M16" s="49"/>
      <c r="N16" s="49"/>
      <c r="O16" s="32"/>
      <c r="P16" s="32"/>
      <c r="Q16" s="32"/>
      <c r="R16" s="32"/>
      <c r="S16" s="32"/>
      <c r="T16" s="32"/>
      <c r="U16" s="32"/>
      <c r="V16" s="62"/>
      <c r="W16" s="62"/>
      <c r="X16" s="32"/>
      <c r="Y16" s="32"/>
      <c r="Z16" s="32"/>
      <c r="AA16" s="63" t="s">
        <v>1116</v>
      </c>
      <c r="AB16" s="63" t="s">
        <v>1117</v>
      </c>
      <c r="AC16" s="63" t="s">
        <v>1118</v>
      </c>
      <c r="AD16" s="63" t="s">
        <v>1119</v>
      </c>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row>
    <row r="17" spans="1:64" s="8" customFormat="1" x14ac:dyDescent="0.25">
      <c r="A17" s="33" t="s">
        <v>381</v>
      </c>
      <c r="B17" s="28">
        <f>SUM(B18:B22)</f>
        <v>245634</v>
      </c>
      <c r="C17" s="29"/>
      <c r="D17" s="34">
        <v>5000</v>
      </c>
      <c r="E17" s="31">
        <f t="shared" ref="E17:K17" si="19">SUMPRODUCT($C18:$C23,E5:E10)*$D$17/1000</f>
        <v>2578.5386794987667</v>
      </c>
      <c r="F17" s="31">
        <f t="shared" si="19"/>
        <v>2421.4613205012333</v>
      </c>
      <c r="G17" s="31">
        <f t="shared" si="19"/>
        <v>451.05647019549406</v>
      </c>
      <c r="H17" s="31">
        <f t="shared" si="19"/>
        <v>714.23577354926442</v>
      </c>
      <c r="I17" s="31">
        <f t="shared" si="19"/>
        <v>1254.1683154612147</v>
      </c>
      <c r="J17" s="31">
        <f t="shared" si="19"/>
        <v>1231.2519846601042</v>
      </c>
      <c r="K17" s="31">
        <f t="shared" si="19"/>
        <v>1348.441054577135</v>
      </c>
      <c r="L17" s="39">
        <f>AL17*SUM($H17:$J17)/$D$17</f>
        <v>704.07322467134873</v>
      </c>
      <c r="N17" s="39">
        <f>AN17*SUM($H17:$J17)/$D$17</f>
        <v>1113.9498528820586</v>
      </c>
      <c r="O17" s="31">
        <f t="shared" ref="O17:Z17" si="20">SUMPRODUCT($C18:$C23,O5:O10)*$D$17/1000</f>
        <v>2095.8627877248268</v>
      </c>
      <c r="P17" s="31">
        <f t="shared" si="20"/>
        <v>1732.0286279586703</v>
      </c>
      <c r="Q17" s="31">
        <f t="shared" si="20"/>
        <v>1169.6533460351579</v>
      </c>
      <c r="R17" s="31">
        <f t="shared" si="20"/>
        <v>1250.0000000000002</v>
      </c>
      <c r="S17" s="31">
        <f t="shared" si="20"/>
        <v>1250.0000000000002</v>
      </c>
      <c r="T17" s="31">
        <f t="shared" si="20"/>
        <v>1250.0000000000002</v>
      </c>
      <c r="U17" s="31">
        <f t="shared" si="20"/>
        <v>1250.0000000000002</v>
      </c>
      <c r="V17" s="46">
        <f t="shared" si="20"/>
        <v>1532.4515539379729</v>
      </c>
      <c r="W17" s="46">
        <f t="shared" si="20"/>
        <v>1579.4341465798709</v>
      </c>
      <c r="X17" s="31">
        <f t="shared" si="20"/>
        <v>1001.6836227883762</v>
      </c>
      <c r="Y17" s="31">
        <f t="shared" si="20"/>
        <v>377.41078189501451</v>
      </c>
      <c r="Z17" s="31">
        <f t="shared" si="20"/>
        <v>508.96455702386476</v>
      </c>
      <c r="AA17" s="29"/>
      <c r="AB17" s="29"/>
      <c r="AC17" s="29"/>
      <c r="AD17" s="29"/>
      <c r="AE17" s="28">
        <f>$C$18*$D17</f>
        <v>1086.2095638225978</v>
      </c>
      <c r="AF17" s="28">
        <f>$C$19*$D17</f>
        <v>1426.6551047493426</v>
      </c>
      <c r="AG17" s="28">
        <f>$C$20*$D17</f>
        <v>1028.5831765960738</v>
      </c>
      <c r="AH17" s="28">
        <f>$C$21*$D17</f>
        <v>638.18526751182662</v>
      </c>
      <c r="AI17" s="28">
        <f>$C$22*$D17</f>
        <v>820.36688732015932</v>
      </c>
      <c r="AJ17" s="28">
        <f>$C$23*$D17</f>
        <v>0</v>
      </c>
      <c r="AK17" s="28">
        <f>$C$24*$D17</f>
        <v>0</v>
      </c>
      <c r="AL17" s="28">
        <f t="shared" ref="AL17:AN17" si="21">SUMPRODUCT($C18:$C23,AL5:AL10)*$D$17/100</f>
        <v>1100.2326632306604</v>
      </c>
      <c r="AM17" s="28">
        <f t="shared" si="21"/>
        <v>2157.127026388855</v>
      </c>
      <c r="AN17" s="28">
        <f t="shared" si="21"/>
        <v>1740.7337339293422</v>
      </c>
      <c r="AO17" s="31">
        <f t="shared" ref="AO17:AQ17" si="22">SUMPRODUCT($C18:$C23,AO5:AO10)</f>
        <v>356.32383546251742</v>
      </c>
      <c r="AP17" s="31">
        <f t="shared" si="22"/>
        <v>154.96091339146861</v>
      </c>
      <c r="AQ17" s="31">
        <f t="shared" si="22"/>
        <v>155.57880423719843</v>
      </c>
      <c r="AR17" s="29"/>
      <c r="AS17" s="29"/>
      <c r="AT17" s="29"/>
      <c r="AU17" s="29"/>
      <c r="AV17" s="29"/>
      <c r="AW17" s="29"/>
      <c r="AX17" s="29"/>
      <c r="AY17" s="29"/>
      <c r="AZ17" s="29"/>
      <c r="BA17" s="29"/>
      <c r="BB17" s="29"/>
      <c r="BC17" s="29"/>
      <c r="BD17" s="29"/>
      <c r="BE17" s="32"/>
      <c r="BF17" s="32"/>
      <c r="BG17" s="32"/>
      <c r="BH17" s="32"/>
      <c r="BI17" s="32" t="s">
        <v>374</v>
      </c>
      <c r="BJ17" s="32"/>
      <c r="BK17" s="32"/>
      <c r="BL17" s="32"/>
    </row>
    <row r="18" spans="1:64" s="8" customFormat="1" x14ac:dyDescent="0.25">
      <c r="A18" s="32" t="s">
        <v>8</v>
      </c>
      <c r="B18" s="50">
        <v>53362</v>
      </c>
      <c r="C18" s="64">
        <f t="shared" ref="C18:C22" si="23">B18/$B$17</f>
        <v>0.21724191276451957</v>
      </c>
      <c r="D18" s="28">
        <v>798</v>
      </c>
      <c r="E18" s="50">
        <f t="shared" ref="E18:Z28" si="24">_xlfn.CEILING.MATH(E5*$D18/1000)</f>
        <v>417</v>
      </c>
      <c r="F18" s="50">
        <f t="shared" si="24"/>
        <v>382</v>
      </c>
      <c r="G18" s="50">
        <f t="shared" si="24"/>
        <v>83</v>
      </c>
      <c r="H18" s="50">
        <f t="shared" si="24"/>
        <v>117</v>
      </c>
      <c r="I18" s="50">
        <f t="shared" si="24"/>
        <v>188</v>
      </c>
      <c r="J18" s="50">
        <f t="shared" si="24"/>
        <v>194</v>
      </c>
      <c r="K18" s="50">
        <f t="shared" si="24"/>
        <v>218</v>
      </c>
      <c r="L18" s="65">
        <f t="shared" si="24"/>
        <v>82</v>
      </c>
      <c r="M18" s="65">
        <f t="shared" si="24"/>
        <v>205</v>
      </c>
      <c r="N18" s="65">
        <f t="shared" si="24"/>
        <v>211</v>
      </c>
      <c r="O18" s="50">
        <f t="shared" si="24"/>
        <v>372</v>
      </c>
      <c r="P18" s="50">
        <f t="shared" si="24"/>
        <v>155</v>
      </c>
      <c r="Q18" s="50">
        <f t="shared" si="24"/>
        <v>273</v>
      </c>
      <c r="R18" s="50">
        <f t="shared" si="24"/>
        <v>200</v>
      </c>
      <c r="S18" s="50">
        <f t="shared" si="24"/>
        <v>200</v>
      </c>
      <c r="T18" s="50">
        <f t="shared" si="24"/>
        <v>200</v>
      </c>
      <c r="U18" s="50">
        <f t="shared" si="24"/>
        <v>200</v>
      </c>
      <c r="V18" s="66">
        <f t="shared" si="24"/>
        <v>146</v>
      </c>
      <c r="W18" s="66">
        <f t="shared" si="24"/>
        <v>178</v>
      </c>
      <c r="X18" s="50">
        <f t="shared" si="24"/>
        <v>86</v>
      </c>
      <c r="Y18" s="50">
        <f t="shared" si="24"/>
        <v>168</v>
      </c>
      <c r="Z18" s="50">
        <f t="shared" si="24"/>
        <v>223</v>
      </c>
      <c r="AA18" s="50"/>
      <c r="AB18" s="50"/>
      <c r="AC18" s="50"/>
      <c r="AD18" s="50"/>
      <c r="AE18" s="32"/>
      <c r="AF18" s="32"/>
      <c r="AG18" s="32"/>
      <c r="AH18" s="32"/>
      <c r="AI18" s="32"/>
      <c r="AJ18" s="32"/>
      <c r="AK18" s="32"/>
      <c r="AL18" s="32"/>
      <c r="AM18" s="32"/>
      <c r="AN18" s="32"/>
      <c r="AO18" s="32"/>
      <c r="AP18" s="67" t="s">
        <v>376</v>
      </c>
      <c r="AQ18" s="32"/>
      <c r="AR18" s="32"/>
      <c r="AS18" s="32"/>
      <c r="AT18" s="32"/>
      <c r="AU18" s="32"/>
      <c r="AV18" s="32" t="s">
        <v>377</v>
      </c>
      <c r="AW18" s="32"/>
      <c r="AX18" s="32"/>
      <c r="AY18" s="32"/>
      <c r="AZ18" s="32"/>
      <c r="BA18" s="32"/>
      <c r="BB18" s="32"/>
      <c r="BC18" s="32"/>
      <c r="BD18" s="32"/>
      <c r="BE18" s="32"/>
      <c r="BF18" s="32"/>
      <c r="BG18" s="32"/>
      <c r="BH18" s="32"/>
      <c r="BI18" s="32"/>
      <c r="BJ18" s="32"/>
      <c r="BK18" s="32"/>
      <c r="BL18" s="32"/>
    </row>
    <row r="19" spans="1:64" s="8" customFormat="1" x14ac:dyDescent="0.25">
      <c r="A19" s="32" t="s">
        <v>4</v>
      </c>
      <c r="B19" s="50">
        <v>70087</v>
      </c>
      <c r="C19" s="64">
        <f t="shared" si="23"/>
        <v>0.28533102094986851</v>
      </c>
      <c r="D19" s="28">
        <v>1048</v>
      </c>
      <c r="E19" s="50">
        <f t="shared" si="24"/>
        <v>536</v>
      </c>
      <c r="F19" s="50">
        <f t="shared" si="24"/>
        <v>513</v>
      </c>
      <c r="G19" s="50">
        <f t="shared" si="24"/>
        <v>92</v>
      </c>
      <c r="H19" s="50">
        <f t="shared" si="24"/>
        <v>156</v>
      </c>
      <c r="I19" s="50">
        <f t="shared" si="24"/>
        <v>239</v>
      </c>
      <c r="J19" s="50">
        <f t="shared" si="24"/>
        <v>281</v>
      </c>
      <c r="K19" s="50">
        <f t="shared" si="24"/>
        <v>282</v>
      </c>
      <c r="L19" s="65">
        <f t="shared" si="24"/>
        <v>113</v>
      </c>
      <c r="M19" s="65">
        <f t="shared" si="24"/>
        <v>337</v>
      </c>
      <c r="N19" s="65">
        <f t="shared" si="24"/>
        <v>226</v>
      </c>
      <c r="O19" s="50">
        <f t="shared" si="24"/>
        <v>408</v>
      </c>
      <c r="P19" s="50">
        <f t="shared" si="24"/>
        <v>445</v>
      </c>
      <c r="Q19" s="50">
        <f t="shared" si="24"/>
        <v>195</v>
      </c>
      <c r="R19" s="50">
        <f t="shared" si="24"/>
        <v>262</v>
      </c>
      <c r="S19" s="50">
        <f t="shared" si="24"/>
        <v>262</v>
      </c>
      <c r="T19" s="50">
        <f t="shared" si="24"/>
        <v>262</v>
      </c>
      <c r="U19" s="50">
        <f t="shared" si="24"/>
        <v>262</v>
      </c>
      <c r="V19" s="66">
        <f t="shared" si="24"/>
        <v>177</v>
      </c>
      <c r="W19" s="66">
        <f t="shared" si="24"/>
        <v>308</v>
      </c>
      <c r="X19" s="50">
        <f t="shared" si="24"/>
        <v>565</v>
      </c>
      <c r="Y19" s="50">
        <f t="shared" si="24"/>
        <v>0</v>
      </c>
      <c r="Z19" s="50">
        <f t="shared" si="24"/>
        <v>0</v>
      </c>
      <c r="AA19" s="50"/>
      <c r="AB19" s="50"/>
      <c r="AC19" s="50"/>
      <c r="AD19" s="50"/>
      <c r="AE19" s="32"/>
      <c r="AF19" s="32"/>
      <c r="AG19" s="32"/>
      <c r="AH19" s="32"/>
      <c r="AI19" s="32"/>
      <c r="AJ19" s="32"/>
      <c r="AK19" s="32"/>
      <c r="AL19" s="32"/>
      <c r="AM19" s="32"/>
      <c r="AN19" s="32"/>
      <c r="AO19" s="32" t="s">
        <v>16</v>
      </c>
      <c r="AP19" s="68" t="s">
        <v>378</v>
      </c>
      <c r="AQ19" s="32"/>
      <c r="AR19" s="32"/>
      <c r="AS19" s="32"/>
      <c r="AT19" s="32"/>
      <c r="AU19" s="32"/>
      <c r="AV19" s="32" t="s">
        <v>379</v>
      </c>
      <c r="AW19" s="32"/>
      <c r="AX19" s="32"/>
      <c r="AY19" s="32"/>
      <c r="AZ19" s="32"/>
      <c r="BA19" s="32"/>
      <c r="BB19" s="32"/>
      <c r="BC19" s="32"/>
      <c r="BD19" s="32"/>
      <c r="BE19" s="32"/>
      <c r="BF19" s="32"/>
      <c r="BG19" s="32"/>
      <c r="BH19" s="32"/>
      <c r="BI19" s="32"/>
      <c r="BJ19" s="32"/>
      <c r="BK19" s="32"/>
      <c r="BL19" s="32"/>
    </row>
    <row r="20" spans="1:64" s="8" customFormat="1" x14ac:dyDescent="0.25">
      <c r="A20" s="32" t="s">
        <v>5</v>
      </c>
      <c r="B20" s="50">
        <v>50531</v>
      </c>
      <c r="C20" s="64">
        <f t="shared" si="23"/>
        <v>0.20571663531921477</v>
      </c>
      <c r="D20" s="28">
        <v>756</v>
      </c>
      <c r="E20" s="50">
        <f t="shared" si="24"/>
        <v>390</v>
      </c>
      <c r="F20" s="50">
        <f t="shared" si="24"/>
        <v>367</v>
      </c>
      <c r="G20" s="50">
        <f t="shared" si="24"/>
        <v>62</v>
      </c>
      <c r="H20" s="50">
        <f t="shared" si="24"/>
        <v>94</v>
      </c>
      <c r="I20" s="50">
        <f t="shared" si="24"/>
        <v>173</v>
      </c>
      <c r="J20" s="50">
        <f t="shared" si="24"/>
        <v>211</v>
      </c>
      <c r="K20" s="50">
        <f t="shared" si="24"/>
        <v>217</v>
      </c>
      <c r="L20" s="65">
        <f t="shared" si="24"/>
        <v>165</v>
      </c>
      <c r="M20" s="65">
        <f t="shared" si="24"/>
        <v>210</v>
      </c>
      <c r="N20" s="65">
        <f t="shared" si="24"/>
        <v>103</v>
      </c>
      <c r="O20" s="50">
        <f t="shared" si="24"/>
        <v>272</v>
      </c>
      <c r="P20" s="50">
        <f t="shared" si="24"/>
        <v>347</v>
      </c>
      <c r="Q20" s="50">
        <f t="shared" si="24"/>
        <v>138</v>
      </c>
      <c r="R20" s="50">
        <f t="shared" si="24"/>
        <v>189</v>
      </c>
      <c r="S20" s="50">
        <f t="shared" si="24"/>
        <v>189</v>
      </c>
      <c r="T20" s="50">
        <f t="shared" si="24"/>
        <v>189</v>
      </c>
      <c r="U20" s="50">
        <f t="shared" si="24"/>
        <v>189</v>
      </c>
      <c r="V20" s="66">
        <f t="shared" si="24"/>
        <v>496</v>
      </c>
      <c r="W20" s="66">
        <f t="shared" si="24"/>
        <v>261</v>
      </c>
      <c r="X20" s="50">
        <f t="shared" si="24"/>
        <v>0</v>
      </c>
      <c r="Y20" s="50">
        <f t="shared" si="24"/>
        <v>0</v>
      </c>
      <c r="Z20" s="50">
        <f t="shared" si="24"/>
        <v>0</v>
      </c>
      <c r="AA20" s="50"/>
      <c r="AB20" s="50"/>
      <c r="AC20" s="50"/>
      <c r="AD20" s="50"/>
      <c r="AE20" s="32"/>
      <c r="AF20" s="33"/>
      <c r="AG20" s="33"/>
      <c r="AH20" s="33"/>
      <c r="AI20" s="33"/>
      <c r="AJ20" s="32"/>
      <c r="AK20" s="32"/>
      <c r="AL20" s="32"/>
      <c r="AM20" s="32"/>
      <c r="AN20" s="32"/>
      <c r="AO20" s="32"/>
      <c r="AP20" s="68" t="s">
        <v>380</v>
      </c>
      <c r="AQ20" s="32"/>
      <c r="AR20" s="32"/>
      <c r="AS20" s="32"/>
      <c r="AT20" s="32"/>
      <c r="AU20" s="32"/>
      <c r="AV20" s="32" t="s">
        <v>379</v>
      </c>
      <c r="AW20" s="32"/>
      <c r="AX20" s="32"/>
      <c r="AY20" s="32"/>
      <c r="AZ20" s="32"/>
      <c r="BA20" s="32"/>
      <c r="BB20" s="32"/>
      <c r="BC20" s="32"/>
      <c r="BD20" s="32"/>
      <c r="BE20" s="32"/>
      <c r="BF20" s="32"/>
      <c r="BG20" s="32"/>
      <c r="BH20" s="32"/>
      <c r="BI20" s="32"/>
      <c r="BJ20" s="32"/>
      <c r="BK20" s="32"/>
      <c r="BL20" s="32"/>
    </row>
    <row r="21" spans="1:64" s="8" customFormat="1" x14ac:dyDescent="0.25">
      <c r="A21" s="49" t="s">
        <v>6</v>
      </c>
      <c r="B21" s="65">
        <v>31352</v>
      </c>
      <c r="C21" s="37">
        <f t="shared" si="23"/>
        <v>0.12763705350236532</v>
      </c>
      <c r="D21" s="39">
        <v>500</v>
      </c>
      <c r="E21" s="65">
        <f t="shared" si="24"/>
        <v>262</v>
      </c>
      <c r="F21" s="65">
        <f t="shared" si="24"/>
        <v>238</v>
      </c>
      <c r="G21" s="65">
        <f t="shared" si="24"/>
        <v>41</v>
      </c>
      <c r="H21" s="65">
        <f t="shared" si="24"/>
        <v>76</v>
      </c>
      <c r="I21" s="65">
        <f t="shared" si="24"/>
        <v>148</v>
      </c>
      <c r="J21" s="65">
        <f t="shared" si="24"/>
        <v>113</v>
      </c>
      <c r="K21" s="65">
        <f t="shared" si="24"/>
        <v>123</v>
      </c>
      <c r="L21" s="65">
        <f t="shared" si="24"/>
        <v>20</v>
      </c>
      <c r="M21" s="65">
        <f t="shared" si="24"/>
        <v>190</v>
      </c>
      <c r="N21" s="65">
        <f t="shared" si="24"/>
        <v>128</v>
      </c>
      <c r="O21" s="50">
        <f t="shared" si="24"/>
        <v>175</v>
      </c>
      <c r="P21" s="50">
        <f t="shared" si="24"/>
        <v>140</v>
      </c>
      <c r="Q21" s="50">
        <f t="shared" si="24"/>
        <v>186</v>
      </c>
      <c r="R21" s="65">
        <f t="shared" si="24"/>
        <v>125</v>
      </c>
      <c r="S21" s="65">
        <f t="shared" si="24"/>
        <v>125</v>
      </c>
      <c r="T21" s="65">
        <f t="shared" si="24"/>
        <v>125</v>
      </c>
      <c r="U21" s="65">
        <f t="shared" si="24"/>
        <v>125</v>
      </c>
      <c r="V21" s="50">
        <f t="shared" si="24"/>
        <v>235</v>
      </c>
      <c r="W21" s="50">
        <f t="shared" si="24"/>
        <v>265</v>
      </c>
      <c r="X21" s="65">
        <f t="shared" si="24"/>
        <v>0</v>
      </c>
      <c r="Y21" s="65">
        <f t="shared" si="24"/>
        <v>0</v>
      </c>
      <c r="Z21" s="65">
        <f t="shared" si="24"/>
        <v>0</v>
      </c>
      <c r="AA21" s="50"/>
      <c r="AB21" s="50"/>
      <c r="AC21" s="50"/>
      <c r="AD21" s="50"/>
      <c r="AE21" s="32"/>
      <c r="AF21" s="32"/>
      <c r="AG21" s="32"/>
      <c r="AH21" s="32"/>
      <c r="AI21" s="32"/>
      <c r="AJ21" s="32"/>
      <c r="AK21" s="32"/>
      <c r="AL21" s="49"/>
      <c r="AM21" s="49"/>
      <c r="AN21" s="49"/>
      <c r="AO21" s="49"/>
      <c r="AP21" s="69"/>
      <c r="AQ21" s="49"/>
      <c r="AR21" s="49"/>
      <c r="AS21" s="49"/>
      <c r="AT21" s="49"/>
      <c r="AU21" s="49"/>
      <c r="AV21" s="49"/>
      <c r="AW21" s="49"/>
      <c r="AX21" s="49"/>
      <c r="AY21" s="49"/>
      <c r="AZ21" s="49"/>
      <c r="BA21" s="49"/>
      <c r="BB21" s="49"/>
      <c r="BC21" s="49"/>
      <c r="BD21" s="49"/>
      <c r="BE21" s="49"/>
      <c r="BF21" s="49"/>
      <c r="BG21" s="49"/>
      <c r="BH21" s="49"/>
      <c r="BI21" s="49"/>
      <c r="BJ21" s="49"/>
      <c r="BK21" s="49"/>
      <c r="BL21" s="49"/>
    </row>
    <row r="22" spans="1:64" s="8" customFormat="1" x14ac:dyDescent="0.25">
      <c r="A22" s="32" t="s">
        <v>16</v>
      </c>
      <c r="B22" s="50">
        <v>40302</v>
      </c>
      <c r="C22" s="64">
        <f t="shared" si="23"/>
        <v>0.16407337746403186</v>
      </c>
      <c r="D22" s="28">
        <v>603</v>
      </c>
      <c r="E22" s="50">
        <f t="shared" si="24"/>
        <v>308</v>
      </c>
      <c r="F22" s="50">
        <f t="shared" si="24"/>
        <v>296</v>
      </c>
      <c r="G22" s="50">
        <f t="shared" si="24"/>
        <v>58</v>
      </c>
      <c r="H22" s="50">
        <f t="shared" si="24"/>
        <v>89</v>
      </c>
      <c r="I22" s="50">
        <f t="shared" si="24"/>
        <v>184</v>
      </c>
      <c r="J22" s="50">
        <f t="shared" si="24"/>
        <v>115</v>
      </c>
      <c r="K22" s="50">
        <f t="shared" si="24"/>
        <v>160</v>
      </c>
      <c r="L22" s="65">
        <f t="shared" si="24"/>
        <v>139</v>
      </c>
      <c r="M22" s="65">
        <f t="shared" si="24"/>
        <v>88</v>
      </c>
      <c r="N22" s="65">
        <f t="shared" si="24"/>
        <v>161</v>
      </c>
      <c r="O22" s="65">
        <f t="shared" si="24"/>
        <v>327</v>
      </c>
      <c r="P22" s="65">
        <f t="shared" si="24"/>
        <v>196</v>
      </c>
      <c r="Q22" s="65">
        <f t="shared" si="24"/>
        <v>81</v>
      </c>
      <c r="R22" s="50">
        <f t="shared" si="24"/>
        <v>151</v>
      </c>
      <c r="S22" s="50">
        <f t="shared" si="24"/>
        <v>151</v>
      </c>
      <c r="T22" s="50">
        <f t="shared" si="24"/>
        <v>151</v>
      </c>
      <c r="U22" s="50">
        <f t="shared" si="24"/>
        <v>151</v>
      </c>
      <c r="V22" s="50">
        <f t="shared" si="24"/>
        <v>90</v>
      </c>
      <c r="W22" s="50">
        <f t="shared" si="24"/>
        <v>168</v>
      </c>
      <c r="X22" s="50">
        <f t="shared" si="24"/>
        <v>86</v>
      </c>
      <c r="Y22" s="50">
        <f t="shared" si="24"/>
        <v>110</v>
      </c>
      <c r="Z22" s="50">
        <f t="shared" si="24"/>
        <v>152</v>
      </c>
      <c r="AA22" s="50"/>
      <c r="AB22" s="50"/>
      <c r="AC22" s="50"/>
      <c r="AD22" s="50"/>
      <c r="AE22" s="32"/>
      <c r="AF22" s="32"/>
      <c r="AG22" s="32"/>
      <c r="AH22" s="32"/>
      <c r="AI22" s="32"/>
      <c r="AJ22" s="32"/>
      <c r="AK22" s="32"/>
      <c r="AL22" s="70"/>
      <c r="AM22" s="70"/>
      <c r="AN22" s="32"/>
      <c r="AO22" s="32"/>
      <c r="AP22" s="71"/>
      <c r="AQ22" s="32"/>
      <c r="AR22" s="32"/>
      <c r="AS22" s="32"/>
      <c r="AT22" s="32"/>
      <c r="AU22" s="32"/>
      <c r="AV22" s="32"/>
      <c r="AW22" s="32"/>
      <c r="AX22" s="32"/>
      <c r="AY22" s="32"/>
      <c r="AZ22" s="32"/>
      <c r="BA22" s="32"/>
      <c r="BB22" s="32"/>
      <c r="BC22" s="32"/>
      <c r="BD22" s="32"/>
      <c r="BE22" s="32"/>
      <c r="BF22" s="32"/>
      <c r="BG22" s="32"/>
      <c r="BH22" s="32"/>
      <c r="BI22" s="32"/>
      <c r="BJ22" s="32"/>
      <c r="BK22" s="32"/>
      <c r="BL22" s="32"/>
    </row>
    <row r="23" spans="1:64" s="8" customFormat="1" x14ac:dyDescent="0.25">
      <c r="A23" s="54" t="s">
        <v>17</v>
      </c>
      <c r="B23" s="50">
        <v>55199</v>
      </c>
      <c r="C23" s="64"/>
      <c r="D23" s="28">
        <v>826</v>
      </c>
      <c r="E23" s="50">
        <f t="shared" si="24"/>
        <v>422</v>
      </c>
      <c r="F23" s="50">
        <f t="shared" si="24"/>
        <v>405</v>
      </c>
      <c r="G23" s="50">
        <f t="shared" si="24"/>
        <v>88</v>
      </c>
      <c r="H23" s="50">
        <f t="shared" si="24"/>
        <v>140</v>
      </c>
      <c r="I23" s="50">
        <f t="shared" si="24"/>
        <v>200</v>
      </c>
      <c r="J23" s="50">
        <f t="shared" si="24"/>
        <v>204</v>
      </c>
      <c r="K23" s="50">
        <f t="shared" si="24"/>
        <v>197</v>
      </c>
      <c r="L23" s="65">
        <f t="shared" si="24"/>
        <v>97</v>
      </c>
      <c r="M23" s="65">
        <f t="shared" si="24"/>
        <v>161</v>
      </c>
      <c r="N23" s="65">
        <f t="shared" si="24"/>
        <v>286</v>
      </c>
      <c r="O23" s="50">
        <f t="shared" si="24"/>
        <v>332</v>
      </c>
      <c r="P23" s="50">
        <f t="shared" si="24"/>
        <v>350</v>
      </c>
      <c r="Q23" s="50">
        <f t="shared" si="24"/>
        <v>146</v>
      </c>
      <c r="R23" s="50">
        <f t="shared" si="24"/>
        <v>207</v>
      </c>
      <c r="S23" s="50">
        <f t="shared" si="24"/>
        <v>207</v>
      </c>
      <c r="T23" s="50">
        <f t="shared" si="24"/>
        <v>207</v>
      </c>
      <c r="U23" s="50">
        <f t="shared" si="24"/>
        <v>207</v>
      </c>
      <c r="V23" s="50">
        <f t="shared" si="24"/>
        <v>108</v>
      </c>
      <c r="W23" s="50">
        <f t="shared" si="24"/>
        <v>258</v>
      </c>
      <c r="X23" s="50">
        <f t="shared" si="24"/>
        <v>174</v>
      </c>
      <c r="Y23" s="50">
        <f t="shared" si="24"/>
        <v>196</v>
      </c>
      <c r="Z23" s="50">
        <f t="shared" si="24"/>
        <v>93</v>
      </c>
      <c r="AA23" s="50"/>
      <c r="AB23" s="50"/>
      <c r="AC23" s="50"/>
      <c r="AD23" s="50"/>
      <c r="AE23" s="32"/>
      <c r="AF23" s="32"/>
      <c r="AG23" s="32"/>
      <c r="AH23" s="32"/>
      <c r="AI23" s="32"/>
      <c r="AJ23" s="32"/>
      <c r="AK23" s="32"/>
      <c r="AL23" s="70"/>
      <c r="AM23" s="70"/>
      <c r="AN23" s="32"/>
      <c r="AO23" s="32"/>
      <c r="AP23" s="71"/>
      <c r="AQ23" s="32"/>
      <c r="AR23" s="32"/>
      <c r="AS23" s="32"/>
      <c r="AT23" s="32"/>
      <c r="AU23" s="32"/>
      <c r="AV23" s="32"/>
      <c r="AW23" s="32"/>
      <c r="AX23" s="32"/>
      <c r="AY23" s="32"/>
      <c r="AZ23" s="32"/>
      <c r="BA23" s="32"/>
      <c r="BB23" s="32"/>
      <c r="BC23" s="32"/>
      <c r="BD23" s="32"/>
      <c r="BE23" s="32"/>
      <c r="BF23" s="32"/>
      <c r="BG23" s="32"/>
      <c r="BH23" s="32"/>
      <c r="BI23" s="32"/>
      <c r="BJ23" s="32"/>
      <c r="BK23" s="32"/>
      <c r="BL23" s="32"/>
    </row>
    <row r="24" spans="1:64" s="8" customFormat="1" x14ac:dyDescent="0.25">
      <c r="A24" s="32" t="s">
        <v>18</v>
      </c>
      <c r="B24" s="50">
        <v>7365</v>
      </c>
      <c r="C24" s="64"/>
      <c r="D24" s="28">
        <v>469</v>
      </c>
      <c r="E24" s="50">
        <f t="shared" si="24"/>
        <v>236</v>
      </c>
      <c r="F24" s="50">
        <f t="shared" si="24"/>
        <v>234</v>
      </c>
      <c r="G24" s="50">
        <f t="shared" si="24"/>
        <v>42</v>
      </c>
      <c r="H24" s="50">
        <f t="shared" si="24"/>
        <v>77</v>
      </c>
      <c r="I24" s="50">
        <f t="shared" si="24"/>
        <v>122</v>
      </c>
      <c r="J24" s="50">
        <f t="shared" si="24"/>
        <v>120</v>
      </c>
      <c r="K24" s="50">
        <f t="shared" si="24"/>
        <v>111</v>
      </c>
      <c r="L24" s="65">
        <f t="shared" si="24"/>
        <v>44</v>
      </c>
      <c r="M24" s="65">
        <f t="shared" si="24"/>
        <v>128</v>
      </c>
      <c r="N24" s="65">
        <f t="shared" si="24"/>
        <v>147</v>
      </c>
      <c r="O24" s="50">
        <f t="shared" si="24"/>
        <v>139</v>
      </c>
      <c r="P24" s="50">
        <f t="shared" si="24"/>
        <v>251</v>
      </c>
      <c r="Q24" s="50">
        <f t="shared" si="24"/>
        <v>81</v>
      </c>
      <c r="R24" s="50">
        <f t="shared" si="24"/>
        <v>118</v>
      </c>
      <c r="S24" s="50">
        <f t="shared" si="24"/>
        <v>118</v>
      </c>
      <c r="T24" s="50">
        <f t="shared" si="24"/>
        <v>118</v>
      </c>
      <c r="U24" s="50">
        <f t="shared" si="24"/>
        <v>118</v>
      </c>
      <c r="V24" s="50">
        <f t="shared" si="24"/>
        <v>329</v>
      </c>
      <c r="W24" s="50">
        <f t="shared" si="24"/>
        <v>122</v>
      </c>
      <c r="X24" s="50">
        <f t="shared" si="24"/>
        <v>19</v>
      </c>
      <c r="Y24" s="50">
        <f t="shared" si="24"/>
        <v>0</v>
      </c>
      <c r="Z24" s="50">
        <f t="shared" si="24"/>
        <v>0</v>
      </c>
      <c r="AA24" s="50"/>
      <c r="AB24" s="50"/>
      <c r="AC24" s="50"/>
      <c r="AD24" s="50"/>
      <c r="AE24" s="32"/>
      <c r="AF24" s="32"/>
      <c r="AG24" s="32"/>
      <c r="AH24" s="32"/>
      <c r="AI24" s="32"/>
      <c r="AJ24" s="32"/>
      <c r="AK24" s="32"/>
      <c r="AL24" s="57"/>
      <c r="AM24" s="57"/>
      <c r="AN24" s="32"/>
      <c r="AO24" s="32" t="s">
        <v>16</v>
      </c>
      <c r="AP24" s="71"/>
      <c r="AQ24" s="32"/>
      <c r="AR24" s="32"/>
      <c r="AS24" s="32"/>
      <c r="AT24" s="32"/>
      <c r="AU24" s="32"/>
      <c r="AV24" s="32"/>
      <c r="AW24" s="32"/>
      <c r="AX24" s="32"/>
      <c r="AY24" s="32"/>
      <c r="AZ24" s="32"/>
      <c r="BA24" s="32"/>
      <c r="BB24" s="32"/>
      <c r="BC24" s="32"/>
      <c r="BD24" s="32"/>
      <c r="BE24" s="32"/>
      <c r="BF24" s="32"/>
      <c r="BG24" s="32"/>
      <c r="BH24" s="32"/>
      <c r="BI24" s="32"/>
      <c r="BJ24" s="32"/>
      <c r="BK24" s="32"/>
      <c r="BL24" s="32"/>
    </row>
    <row r="25" spans="1:64" s="8" customFormat="1" x14ac:dyDescent="0.25">
      <c r="A25" s="32" t="s">
        <v>7</v>
      </c>
      <c r="B25" s="50">
        <v>105918</v>
      </c>
      <c r="C25" s="57"/>
      <c r="D25" s="28">
        <v>2000</v>
      </c>
      <c r="E25" s="50">
        <f t="shared" si="24"/>
        <v>1028</v>
      </c>
      <c r="F25" s="50">
        <f t="shared" si="24"/>
        <v>972</v>
      </c>
      <c r="G25" s="50">
        <f t="shared" si="24"/>
        <v>158</v>
      </c>
      <c r="H25" s="50">
        <f t="shared" si="24"/>
        <v>240</v>
      </c>
      <c r="I25" s="50">
        <f t="shared" si="24"/>
        <v>448</v>
      </c>
      <c r="J25" s="50">
        <f t="shared" si="24"/>
        <v>476</v>
      </c>
      <c r="K25" s="50">
        <f t="shared" si="24"/>
        <v>678</v>
      </c>
      <c r="L25" s="65">
        <f t="shared" si="24"/>
        <v>0</v>
      </c>
      <c r="M25" s="65">
        <f t="shared" si="24"/>
        <v>513</v>
      </c>
      <c r="N25" s="65">
        <f t="shared" si="24"/>
        <v>648</v>
      </c>
      <c r="O25" s="50">
        <f t="shared" si="24"/>
        <v>1840</v>
      </c>
      <c r="P25" s="50">
        <f t="shared" si="24"/>
        <v>160</v>
      </c>
      <c r="Q25" s="58">
        <v>0</v>
      </c>
      <c r="R25" s="50">
        <f t="shared" si="24"/>
        <v>500</v>
      </c>
      <c r="S25" s="50">
        <f t="shared" si="24"/>
        <v>500</v>
      </c>
      <c r="T25" s="50">
        <f t="shared" si="24"/>
        <v>500</v>
      </c>
      <c r="U25" s="50">
        <f t="shared" si="24"/>
        <v>500</v>
      </c>
      <c r="V25" s="50">
        <f t="shared" si="24"/>
        <v>344</v>
      </c>
      <c r="W25" s="50">
        <f t="shared" si="24"/>
        <v>346</v>
      </c>
      <c r="X25" s="50">
        <f t="shared" si="24"/>
        <v>686</v>
      </c>
      <c r="Y25" s="50">
        <f t="shared" si="24"/>
        <v>218</v>
      </c>
      <c r="Z25" s="50">
        <f t="shared" si="24"/>
        <v>408</v>
      </c>
      <c r="AA25" s="50"/>
      <c r="AB25" s="50"/>
      <c r="AC25" s="50"/>
      <c r="AD25" s="50"/>
      <c r="AE25" s="32"/>
      <c r="AF25" s="32"/>
      <c r="AG25" s="32"/>
      <c r="AH25" s="32"/>
      <c r="AI25" s="32"/>
      <c r="AJ25" s="32"/>
      <c r="AK25" s="32"/>
      <c r="AL25" s="32"/>
      <c r="AM25" s="32"/>
      <c r="AN25" s="32"/>
      <c r="AO25" s="32"/>
      <c r="AP25" s="71"/>
      <c r="AQ25" s="32"/>
      <c r="AR25" s="32"/>
      <c r="AS25" s="32"/>
      <c r="AT25" s="32"/>
      <c r="AU25" s="32"/>
      <c r="AV25" s="32"/>
      <c r="AW25" s="32"/>
      <c r="AX25" s="32"/>
      <c r="AY25" s="32"/>
      <c r="AZ25" s="32"/>
      <c r="BA25" s="32"/>
      <c r="BB25" s="32"/>
      <c r="BC25" s="32"/>
      <c r="BD25" s="32"/>
      <c r="BE25" s="32"/>
      <c r="BF25" s="32"/>
      <c r="BG25" s="32"/>
      <c r="BH25" s="32"/>
      <c r="BI25" s="32"/>
      <c r="BJ25" s="32"/>
      <c r="BK25" s="32"/>
      <c r="BL25" s="32"/>
    </row>
    <row r="26" spans="1:64" s="8" customFormat="1" x14ac:dyDescent="0.25">
      <c r="A26" s="32" t="s">
        <v>19</v>
      </c>
      <c r="B26" s="50">
        <v>114401</v>
      </c>
      <c r="C26" s="57"/>
      <c r="D26" s="28">
        <v>1000</v>
      </c>
      <c r="E26" s="50">
        <f t="shared" si="24"/>
        <v>540</v>
      </c>
      <c r="F26" s="50">
        <f t="shared" si="24"/>
        <v>460</v>
      </c>
      <c r="G26" s="50">
        <f t="shared" si="24"/>
        <v>89</v>
      </c>
      <c r="H26" s="50">
        <f t="shared" si="24"/>
        <v>160</v>
      </c>
      <c r="I26" s="50">
        <f t="shared" si="24"/>
        <v>297</v>
      </c>
      <c r="J26" s="50">
        <f t="shared" si="24"/>
        <v>247</v>
      </c>
      <c r="K26" s="50">
        <f t="shared" si="24"/>
        <v>207</v>
      </c>
      <c r="L26" s="65">
        <f t="shared" si="24"/>
        <v>99</v>
      </c>
      <c r="M26" s="65">
        <f t="shared" si="24"/>
        <v>624</v>
      </c>
      <c r="N26" s="65">
        <f t="shared" si="24"/>
        <v>278</v>
      </c>
      <c r="O26" s="50">
        <f t="shared" si="24"/>
        <v>749</v>
      </c>
      <c r="P26" s="50">
        <f t="shared" si="24"/>
        <v>0</v>
      </c>
      <c r="Q26" s="50">
        <f t="shared" si="24"/>
        <v>251</v>
      </c>
      <c r="R26" s="50">
        <f t="shared" si="24"/>
        <v>250</v>
      </c>
      <c r="S26" s="50">
        <f t="shared" si="24"/>
        <v>250</v>
      </c>
      <c r="T26" s="50">
        <f t="shared" si="24"/>
        <v>250</v>
      </c>
      <c r="U26" s="50">
        <f t="shared" si="24"/>
        <v>250</v>
      </c>
      <c r="V26" s="50">
        <f t="shared" si="24"/>
        <v>128</v>
      </c>
      <c r="W26" s="50">
        <f t="shared" si="24"/>
        <v>195</v>
      </c>
      <c r="X26" s="50">
        <f t="shared" si="24"/>
        <v>484</v>
      </c>
      <c r="Y26" s="50">
        <f t="shared" si="24"/>
        <v>194</v>
      </c>
      <c r="Z26" s="50">
        <f t="shared" si="24"/>
        <v>0</v>
      </c>
      <c r="AA26" s="50"/>
      <c r="AB26" s="50"/>
      <c r="AC26" s="50"/>
      <c r="AD26" s="72"/>
      <c r="AE26" s="32"/>
      <c r="AF26" s="32"/>
      <c r="AG26" s="32"/>
      <c r="AH26" s="32"/>
      <c r="AI26" s="32"/>
      <c r="AJ26" s="32"/>
      <c r="AK26" s="32"/>
      <c r="AL26" s="32"/>
      <c r="AM26" s="32"/>
      <c r="AN26" s="32"/>
      <c r="AO26" s="32"/>
      <c r="AP26" s="71"/>
      <c r="AQ26" s="32"/>
      <c r="AR26" s="32"/>
      <c r="AS26" s="32"/>
      <c r="AT26" s="32"/>
      <c r="AU26" s="32"/>
      <c r="AV26" s="32"/>
      <c r="AW26" s="32"/>
      <c r="AX26" s="32"/>
      <c r="AY26" s="32"/>
      <c r="AZ26" s="32"/>
      <c r="BA26" s="32"/>
      <c r="BB26" s="32"/>
      <c r="BC26" s="32"/>
      <c r="BD26" s="32"/>
      <c r="BE26" s="32"/>
      <c r="BF26" s="32"/>
      <c r="BG26" s="32"/>
      <c r="BH26" s="32"/>
      <c r="BI26" s="32"/>
      <c r="BJ26" s="32"/>
      <c r="BK26" s="32"/>
      <c r="BL26" s="32"/>
    </row>
    <row r="27" spans="1:64" s="8" customFormat="1" x14ac:dyDescent="0.25">
      <c r="A27" s="32" t="s">
        <v>20</v>
      </c>
      <c r="B27" s="50">
        <v>24903</v>
      </c>
      <c r="C27" s="57"/>
      <c r="D27" s="28">
        <v>1000</v>
      </c>
      <c r="E27" s="50">
        <f t="shared" si="24"/>
        <v>334</v>
      </c>
      <c r="F27" s="50">
        <f t="shared" si="24"/>
        <v>652</v>
      </c>
      <c r="G27" s="50">
        <f t="shared" si="24"/>
        <v>153</v>
      </c>
      <c r="H27" s="50">
        <f t="shared" si="24"/>
        <v>322</v>
      </c>
      <c r="I27" s="50">
        <f t="shared" si="24"/>
        <v>359</v>
      </c>
      <c r="J27" s="50">
        <f t="shared" si="24"/>
        <v>128</v>
      </c>
      <c r="K27" s="50">
        <f t="shared" si="24"/>
        <v>38</v>
      </c>
      <c r="L27" s="65">
        <f t="shared" si="24"/>
        <v>309</v>
      </c>
      <c r="M27" s="65">
        <f t="shared" si="24"/>
        <v>147</v>
      </c>
      <c r="N27" s="65">
        <f t="shared" si="24"/>
        <v>355</v>
      </c>
      <c r="O27" s="50">
        <f t="shared" si="24"/>
        <v>0</v>
      </c>
      <c r="P27" s="50">
        <f t="shared" si="24"/>
        <v>0</v>
      </c>
      <c r="Q27" s="50">
        <f t="shared" si="24"/>
        <v>0</v>
      </c>
      <c r="R27" s="50">
        <f t="shared" si="24"/>
        <v>250</v>
      </c>
      <c r="S27" s="50">
        <f t="shared" si="24"/>
        <v>250</v>
      </c>
      <c r="T27" s="50">
        <f t="shared" si="24"/>
        <v>250</v>
      </c>
      <c r="U27" s="50">
        <f t="shared" si="24"/>
        <v>250</v>
      </c>
      <c r="V27" s="50">
        <f t="shared" si="24"/>
        <v>136</v>
      </c>
      <c r="W27" s="50">
        <f t="shared" si="24"/>
        <v>343</v>
      </c>
      <c r="X27" s="50">
        <f t="shared" si="24"/>
        <v>362</v>
      </c>
      <c r="Y27" s="50">
        <f t="shared" si="24"/>
        <v>159</v>
      </c>
      <c r="Z27" s="50">
        <f t="shared" si="24"/>
        <v>0</v>
      </c>
      <c r="AA27" s="50">
        <f t="shared" ref="AA27:AD28" si="25">_xlfn.CEILING.MATH(AA14*$D27/1000)</f>
        <v>244</v>
      </c>
      <c r="AB27" s="50">
        <f t="shared" si="25"/>
        <v>104</v>
      </c>
      <c r="AC27" s="50">
        <f t="shared" si="25"/>
        <v>241</v>
      </c>
      <c r="AD27" s="50">
        <f t="shared" si="25"/>
        <v>411</v>
      </c>
      <c r="AE27" s="50"/>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row>
    <row r="28" spans="1:64" s="8" customFormat="1" x14ac:dyDescent="0.25">
      <c r="A28" s="32" t="s">
        <v>1</v>
      </c>
      <c r="B28" s="50">
        <v>274384</v>
      </c>
      <c r="C28" s="29"/>
      <c r="D28" s="28">
        <v>3000</v>
      </c>
      <c r="E28" s="50">
        <f t="shared" si="24"/>
        <v>1515</v>
      </c>
      <c r="F28" s="50">
        <f t="shared" si="24"/>
        <v>1485</v>
      </c>
      <c r="G28" s="50">
        <f t="shared" si="24"/>
        <v>348</v>
      </c>
      <c r="H28" s="50">
        <f t="shared" si="24"/>
        <v>519</v>
      </c>
      <c r="I28" s="50">
        <f t="shared" si="24"/>
        <v>738</v>
      </c>
      <c r="J28" s="50">
        <f t="shared" si="24"/>
        <v>714</v>
      </c>
      <c r="K28" s="50">
        <f t="shared" si="24"/>
        <v>678</v>
      </c>
      <c r="L28" s="39">
        <f t="shared" si="24"/>
        <v>158</v>
      </c>
      <c r="M28" s="65">
        <f t="shared" si="24"/>
        <v>815</v>
      </c>
      <c r="N28" s="65">
        <f t="shared" si="24"/>
        <v>1000</v>
      </c>
      <c r="O28" s="50">
        <f t="shared" si="24"/>
        <v>2271</v>
      </c>
      <c r="P28" s="50">
        <f t="shared" si="24"/>
        <v>0</v>
      </c>
      <c r="Q28" s="50">
        <f t="shared" si="24"/>
        <v>729</v>
      </c>
      <c r="R28" s="50">
        <f t="shared" si="24"/>
        <v>750</v>
      </c>
      <c r="S28" s="50">
        <f t="shared" si="24"/>
        <v>750</v>
      </c>
      <c r="T28" s="50">
        <f t="shared" si="24"/>
        <v>750</v>
      </c>
      <c r="U28" s="50">
        <f t="shared" si="24"/>
        <v>750</v>
      </c>
      <c r="V28" s="50">
        <f t="shared" si="24"/>
        <v>513</v>
      </c>
      <c r="W28" s="50">
        <f t="shared" si="24"/>
        <v>624</v>
      </c>
      <c r="X28" s="50">
        <f t="shared" si="24"/>
        <v>1149</v>
      </c>
      <c r="Y28" s="50">
        <f t="shared" si="24"/>
        <v>717</v>
      </c>
      <c r="Z28" s="50">
        <f t="shared" si="24"/>
        <v>0</v>
      </c>
      <c r="AA28" s="50">
        <f t="shared" si="25"/>
        <v>1752</v>
      </c>
      <c r="AB28" s="50">
        <f t="shared" si="25"/>
        <v>585</v>
      </c>
      <c r="AC28" s="50">
        <f t="shared" si="25"/>
        <v>411</v>
      </c>
      <c r="AD28" s="50">
        <f t="shared" si="25"/>
        <v>264</v>
      </c>
      <c r="AE28" s="32"/>
      <c r="AF28" s="32"/>
      <c r="AG28" s="32"/>
      <c r="AH28" s="32"/>
      <c r="AI28" s="32"/>
      <c r="AJ28" s="32"/>
      <c r="AK28" s="32"/>
      <c r="AL28" s="32"/>
      <c r="AM28" s="32"/>
      <c r="AN28" s="32"/>
      <c r="AO28" s="32"/>
      <c r="AP28" s="32"/>
      <c r="AQ28" s="32"/>
      <c r="AR28" s="32"/>
      <c r="AS28" s="32"/>
      <c r="AT28" s="32"/>
      <c r="AU28" s="32"/>
      <c r="AV28" s="32"/>
      <c r="AW28" s="32"/>
      <c r="AX28" s="32"/>
      <c r="AY28" s="32"/>
      <c r="BG28" s="32"/>
      <c r="BH28" s="33" t="s">
        <v>356</v>
      </c>
      <c r="BI28" s="33" t="s">
        <v>357</v>
      </c>
      <c r="BJ28" s="33" t="s">
        <v>358</v>
      </c>
      <c r="BK28" s="33" t="s">
        <v>359</v>
      </c>
      <c r="BL28" s="32"/>
    </row>
    <row r="29" spans="1:64" x14ac:dyDescent="0.25">
      <c r="AV29" t="s">
        <v>6</v>
      </c>
      <c r="AW29">
        <v>230</v>
      </c>
      <c r="AX29">
        <v>240</v>
      </c>
      <c r="AY29">
        <v>288</v>
      </c>
      <c r="AZ29">
        <v>242</v>
      </c>
    </row>
    <row r="30" spans="1:64" x14ac:dyDescent="0.25">
      <c r="AV30" t="s">
        <v>5</v>
      </c>
      <c r="AW30">
        <v>266</v>
      </c>
      <c r="AX30">
        <v>389</v>
      </c>
      <c r="AY30">
        <v>124</v>
      </c>
      <c r="AZ30">
        <v>221</v>
      </c>
    </row>
    <row r="32" spans="1:64" x14ac:dyDescent="0.25">
      <c r="M32" s="1"/>
      <c r="N32" s="1"/>
      <c r="O32" s="1"/>
      <c r="P32" s="1"/>
      <c r="Q32" s="1"/>
      <c r="R32" s="1"/>
      <c r="S32" s="1"/>
      <c r="T32" s="1"/>
      <c r="U32" s="1"/>
      <c r="V32" s="1"/>
      <c r="W32" s="1"/>
      <c r="AF32" t="s">
        <v>1080</v>
      </c>
    </row>
    <row r="33" spans="13:33" x14ac:dyDescent="0.25">
      <c r="M33" s="9"/>
      <c r="N33" s="9"/>
      <c r="O33" s="9"/>
      <c r="P33" s="9"/>
      <c r="Q33" s="9"/>
      <c r="R33" s="9"/>
      <c r="S33" s="9"/>
      <c r="T33" s="9"/>
      <c r="U33" s="3"/>
      <c r="V33" s="4"/>
      <c r="W33" s="9"/>
      <c r="AF33" t="s">
        <v>1081</v>
      </c>
      <c r="AG33" t="s">
        <v>1082</v>
      </c>
    </row>
    <row r="34" spans="13:33" x14ac:dyDescent="0.25">
      <c r="M34" s="4"/>
      <c r="N34" s="4"/>
      <c r="O34" s="4"/>
      <c r="P34" s="4"/>
      <c r="Q34" s="4"/>
      <c r="R34" s="4"/>
      <c r="S34" s="4"/>
      <c r="T34" s="4"/>
      <c r="U34" s="3"/>
      <c r="V34" s="4"/>
      <c r="W34" s="4"/>
      <c r="AF34" t="s">
        <v>1083</v>
      </c>
    </row>
    <row r="35" spans="13:33" x14ac:dyDescent="0.25">
      <c r="M35" s="4"/>
      <c r="N35" s="4"/>
      <c r="O35" s="4"/>
      <c r="P35" s="4"/>
      <c r="Q35" s="4"/>
      <c r="R35" s="4"/>
      <c r="S35" s="4"/>
      <c r="T35" s="4"/>
      <c r="U35" s="3"/>
      <c r="V35" s="4"/>
      <c r="W35" s="4"/>
      <c r="AF35" t="s">
        <v>1084</v>
      </c>
    </row>
    <row r="36" spans="13:33" x14ac:dyDescent="0.25">
      <c r="AF36" t="s">
        <v>1085</v>
      </c>
    </row>
  </sheetData>
  <hyperlinks>
    <hyperlink ref="BI8" r:id="rId1"/>
    <hyperlink ref="BI14" r:id="rId2"/>
  </hyperlinks>
  <pageMargins left="0.7" right="0.7" top="0.75" bottom="0.75" header="0.3" footer="0.3"/>
  <pageSetup paperSize="9" orientation="portrait"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
  <sheetViews>
    <sheetView zoomScale="110" zoomScaleNormal="110" workbookViewId="0">
      <selection activeCell="H6" sqref="H6"/>
    </sheetView>
  </sheetViews>
  <sheetFormatPr baseColWidth="10" defaultRowHeight="15" x14ac:dyDescent="0.25"/>
  <sheetData>
    <row r="1" spans="1:19" x14ac:dyDescent="0.25">
      <c r="A1" t="s">
        <v>471</v>
      </c>
      <c r="B1" s="1" t="s">
        <v>8</v>
      </c>
      <c r="C1" s="1" t="s">
        <v>4</v>
      </c>
      <c r="D1" s="1" t="s">
        <v>5</v>
      </c>
      <c r="E1" s="1" t="s">
        <v>6</v>
      </c>
      <c r="F1" s="1" t="s">
        <v>625</v>
      </c>
      <c r="G1" s="1" t="s">
        <v>58</v>
      </c>
      <c r="H1" s="1" t="s">
        <v>914</v>
      </c>
      <c r="I1" s="1" t="s">
        <v>61</v>
      </c>
      <c r="J1" s="1" t="s">
        <v>19</v>
      </c>
      <c r="K1" s="1" t="s">
        <v>1012</v>
      </c>
      <c r="L1" s="1" t="s">
        <v>57</v>
      </c>
      <c r="M1" s="1" t="s">
        <v>60</v>
      </c>
      <c r="N1" s="1" t="s">
        <v>56</v>
      </c>
      <c r="O1" s="1" t="s">
        <v>55</v>
      </c>
      <c r="P1" s="1" t="s">
        <v>35</v>
      </c>
      <c r="Q1" s="1" t="s">
        <v>59</v>
      </c>
      <c r="R1" s="1" t="s">
        <v>1049</v>
      </c>
    </row>
    <row r="2" spans="1:19" x14ac:dyDescent="0.25">
      <c r="A2" t="s">
        <v>21</v>
      </c>
      <c r="B2" s="3">
        <v>12997.222414165408</v>
      </c>
      <c r="C2" s="3">
        <v>14190</v>
      </c>
      <c r="D2" s="3">
        <v>9588.6275314022023</v>
      </c>
      <c r="E2" s="3">
        <v>25323.510098041897</v>
      </c>
      <c r="F2" s="3">
        <v>8391</v>
      </c>
      <c r="G2" s="3">
        <v>13693.28097164294</v>
      </c>
      <c r="H2" s="3">
        <v>40271.256418955687</v>
      </c>
      <c r="I2" s="3">
        <v>1501467.1169903141</v>
      </c>
      <c r="J2" s="3">
        <v>429398.94879175711</v>
      </c>
      <c r="K2" s="3">
        <v>10891.537903473718</v>
      </c>
      <c r="L2" s="3">
        <v>10891.537903473718</v>
      </c>
      <c r="M2" s="3">
        <v>16936.832688588009</v>
      </c>
      <c r="N2" s="3">
        <v>40271.256418955687</v>
      </c>
      <c r="O2" s="3">
        <v>40271.256418955687</v>
      </c>
      <c r="P2" s="3">
        <v>40271.256418955687</v>
      </c>
      <c r="Q2" s="3">
        <v>16936.832688588009</v>
      </c>
    </row>
    <row r="3" spans="1:19" x14ac:dyDescent="0.25">
      <c r="A3" t="s">
        <v>22</v>
      </c>
      <c r="B3" s="3">
        <v>16596.676527747786</v>
      </c>
      <c r="C3" s="3">
        <v>18104</v>
      </c>
      <c r="D3" s="3">
        <v>12588.946680338373</v>
      </c>
      <c r="E3" s="3">
        <v>32307.597474146969</v>
      </c>
      <c r="F3" s="3">
        <v>11687</v>
      </c>
      <c r="G3" s="3">
        <v>17594.381257213285</v>
      </c>
      <c r="H3" s="3">
        <v>50784.832770715147</v>
      </c>
      <c r="I3" s="3">
        <v>2130928.3312979308</v>
      </c>
      <c r="J3" s="3">
        <v>600779.80045330233</v>
      </c>
      <c r="K3" s="3">
        <v>32130.016600061484</v>
      </c>
      <c r="L3" s="3">
        <v>32130.016600061484</v>
      </c>
      <c r="M3" s="3">
        <v>30031.523210831721</v>
      </c>
      <c r="N3" s="3">
        <v>50784.832770715147</v>
      </c>
      <c r="O3" s="3">
        <v>50784.832770715147</v>
      </c>
      <c r="P3" s="3">
        <v>50784.832770715147</v>
      </c>
      <c r="Q3" s="3">
        <v>30031.523210831721</v>
      </c>
    </row>
    <row r="4" spans="1:19" x14ac:dyDescent="0.25">
      <c r="A4" t="s">
        <v>26</v>
      </c>
      <c r="B4" s="3">
        <v>18144.483264953575</v>
      </c>
      <c r="C4" s="3">
        <v>19836</v>
      </c>
      <c r="D4" s="3">
        <v>13979.111766213789</v>
      </c>
      <c r="E4" s="3">
        <v>35237.941359473807</v>
      </c>
      <c r="F4" s="3">
        <v>13090</v>
      </c>
      <c r="G4" s="3">
        <v>19316.441811842469</v>
      </c>
      <c r="H4" s="3">
        <v>55393.549721700743</v>
      </c>
      <c r="I4" s="3">
        <v>2415052.1088043214</v>
      </c>
      <c r="J4" s="3">
        <v>678890.35328776063</v>
      </c>
      <c r="K4" s="3">
        <v>35803.722348601288</v>
      </c>
      <c r="L4" s="3">
        <v>35803.722348601288</v>
      </c>
      <c r="M4" s="3">
        <v>36205.123307543523</v>
      </c>
      <c r="N4" s="3">
        <v>55393.549721700743</v>
      </c>
      <c r="O4" s="3">
        <v>55393.549721700743</v>
      </c>
      <c r="P4" s="3">
        <v>55393.549721700743</v>
      </c>
      <c r="Q4" s="3">
        <v>36205.123307543523</v>
      </c>
    </row>
    <row r="5" spans="1:19" x14ac:dyDescent="0.25">
      <c r="A5" t="s">
        <v>23</v>
      </c>
      <c r="B5" s="3">
        <v>19647.711509393219</v>
      </c>
      <c r="C5" s="3">
        <v>21415</v>
      </c>
      <c r="D5" s="3">
        <v>15190.600358882335</v>
      </c>
      <c r="E5" s="3">
        <v>37805.27853160799</v>
      </c>
      <c r="F5" s="3">
        <v>14387</v>
      </c>
      <c r="G5" s="3">
        <v>21229.631268537079</v>
      </c>
      <c r="H5" s="3">
        <v>59852.606613967168</v>
      </c>
      <c r="I5" s="3">
        <v>2663660.4141224134</v>
      </c>
      <c r="J5" s="3">
        <v>748917.20458496653</v>
      </c>
      <c r="K5" s="3">
        <v>41715.04703350753</v>
      </c>
      <c r="L5" s="3">
        <v>41715.04703350753</v>
      </c>
      <c r="M5" s="3">
        <v>43108.416344294004</v>
      </c>
      <c r="N5" s="3">
        <v>59852.606613967168</v>
      </c>
      <c r="O5" s="3">
        <v>59852.606613967168</v>
      </c>
      <c r="P5" s="3">
        <v>59852.606613967168</v>
      </c>
      <c r="Q5" s="3">
        <v>43108.416344294004</v>
      </c>
    </row>
    <row r="6" spans="1:19" x14ac:dyDescent="0.25">
      <c r="A6" t="s">
        <v>24</v>
      </c>
      <c r="B6" s="3">
        <v>22348.338803714101</v>
      </c>
      <c r="C6" s="3">
        <v>24440</v>
      </c>
      <c r="D6" s="3">
        <v>18000.882081517557</v>
      </c>
      <c r="E6" s="3">
        <v>42734.687241396932</v>
      </c>
      <c r="F6" s="3">
        <v>16887</v>
      </c>
      <c r="G6" s="3">
        <v>25146.998215288375</v>
      </c>
      <c r="H6" s="3">
        <v>68412.515572120014</v>
      </c>
      <c r="I6" s="3">
        <v>3172715.5154880304</v>
      </c>
      <c r="J6" s="3">
        <v>888108.55117730412</v>
      </c>
      <c r="K6" s="3">
        <v>49539.536919766368</v>
      </c>
      <c r="L6" s="3">
        <v>49539.536919766368</v>
      </c>
      <c r="M6" s="3">
        <v>56375.846228239847</v>
      </c>
      <c r="N6" s="3">
        <v>68412.515572120014</v>
      </c>
      <c r="O6" s="3">
        <v>68412.515572120014</v>
      </c>
      <c r="P6" s="3">
        <v>68412.515572120014</v>
      </c>
      <c r="Q6" s="3">
        <v>56375.846228239847</v>
      </c>
    </row>
    <row r="7" spans="1:19" x14ac:dyDescent="0.25">
      <c r="A7" t="s">
        <v>25</v>
      </c>
      <c r="B7" s="3">
        <v>25066.590153314621</v>
      </c>
      <c r="C7" s="3">
        <v>27556</v>
      </c>
      <c r="D7" s="3">
        <v>20469.302999230964</v>
      </c>
      <c r="E7" s="3">
        <v>47609.493270092826</v>
      </c>
      <c r="F7" s="3">
        <v>19307</v>
      </c>
      <c r="G7" s="3">
        <v>29290.796526726746</v>
      </c>
      <c r="H7" s="3">
        <v>77170.692676626612</v>
      </c>
      <c r="I7" s="3">
        <v>3696991.5301233493</v>
      </c>
      <c r="J7" s="3">
        <v>1040456.1426944376</v>
      </c>
      <c r="K7" s="3">
        <v>66571.033261604665</v>
      </c>
      <c r="L7" s="3">
        <v>66571.033261604665</v>
      </c>
      <c r="M7" s="3">
        <v>72097.221953578337</v>
      </c>
      <c r="N7" s="3">
        <v>77170.692676626612</v>
      </c>
      <c r="O7" s="3">
        <v>77170.692676626612</v>
      </c>
      <c r="P7" s="3">
        <v>77170.692676626612</v>
      </c>
      <c r="Q7" s="3">
        <v>72097.221953578337</v>
      </c>
    </row>
    <row r="8" spans="1:19" x14ac:dyDescent="0.25">
      <c r="A8" t="s">
        <v>27</v>
      </c>
      <c r="B8" s="3">
        <v>27997.366875404881</v>
      </c>
      <c r="C8" s="3">
        <v>31182</v>
      </c>
      <c r="D8" s="3">
        <v>23439.670597282744</v>
      </c>
      <c r="E8" s="3">
        <v>52935.276998186848</v>
      </c>
      <c r="F8" s="3">
        <v>22172</v>
      </c>
      <c r="G8" s="3">
        <v>34405.8690375445</v>
      </c>
      <c r="H8" s="3">
        <v>87947.711484992687</v>
      </c>
      <c r="I8" s="3">
        <v>4321049.1162430262</v>
      </c>
      <c r="J8" s="3">
        <v>1202691.2954956281</v>
      </c>
      <c r="K8" s="3">
        <v>84381.420719335991</v>
      </c>
      <c r="L8" s="3">
        <v>84381.420719335991</v>
      </c>
      <c r="M8" s="3">
        <v>91173.928916827848</v>
      </c>
      <c r="N8" s="3">
        <v>87947.711484992687</v>
      </c>
      <c r="O8" s="3">
        <v>87947.711484992687</v>
      </c>
      <c r="P8" s="3">
        <v>87947.711484992687</v>
      </c>
      <c r="Q8" s="3">
        <v>91173.928916827848</v>
      </c>
    </row>
    <row r="9" spans="1:19" x14ac:dyDescent="0.25">
      <c r="A9" t="s">
        <v>28</v>
      </c>
      <c r="B9" s="3">
        <v>31759.584323040381</v>
      </c>
      <c r="C9" s="3">
        <v>35572</v>
      </c>
      <c r="D9" s="3">
        <v>26792.178672135346</v>
      </c>
      <c r="E9" s="3">
        <v>59704.998292963661</v>
      </c>
      <c r="F9" s="3">
        <v>25381</v>
      </c>
      <c r="G9" s="3">
        <v>40289.162541109457</v>
      </c>
      <c r="H9" s="3">
        <v>99976.469129256671</v>
      </c>
      <c r="I9" s="3">
        <v>4972166.106361839</v>
      </c>
      <c r="J9" s="3">
        <v>1417186.4033321112</v>
      </c>
      <c r="K9" s="3">
        <v>111648.57325545652</v>
      </c>
      <c r="L9" s="3">
        <v>111648.57325545652</v>
      </c>
      <c r="M9" s="3">
        <v>114965.89700193424</v>
      </c>
      <c r="N9" s="3">
        <v>99976.469129256671</v>
      </c>
      <c r="O9" s="3">
        <v>99976.469129256671</v>
      </c>
      <c r="P9" s="3">
        <v>99976.469129256671</v>
      </c>
      <c r="Q9" s="3">
        <v>114965.89700193424</v>
      </c>
    </row>
    <row r="10" spans="1:19" x14ac:dyDescent="0.25">
      <c r="A10" t="s">
        <v>29</v>
      </c>
      <c r="B10" s="3">
        <v>34020.646944504428</v>
      </c>
      <c r="C10" s="3">
        <v>38196</v>
      </c>
      <c r="D10" s="3">
        <v>28889.820046142009</v>
      </c>
      <c r="E10" s="3">
        <v>63657.625707643652</v>
      </c>
      <c r="F10" s="3">
        <v>27399</v>
      </c>
      <c r="G10" s="3">
        <v>43783.717403374263</v>
      </c>
      <c r="H10" s="3">
        <v>107184.46482220349</v>
      </c>
      <c r="I10" s="3">
        <v>5493059.6984568881</v>
      </c>
      <c r="J10" s="3">
        <v>1549032.3668821231</v>
      </c>
      <c r="K10" s="3">
        <v>131363.23123270826</v>
      </c>
      <c r="L10" s="3">
        <v>131363.23123270826</v>
      </c>
      <c r="M10" s="3">
        <v>129898.95309477756</v>
      </c>
      <c r="N10" s="3">
        <v>107184.46482220349</v>
      </c>
      <c r="O10" s="3">
        <v>107184.46482220349</v>
      </c>
      <c r="P10" s="3">
        <v>107184.46482220349</v>
      </c>
      <c r="Q10" s="3">
        <v>129898.95309477756</v>
      </c>
    </row>
    <row r="11" spans="1:19" x14ac:dyDescent="0.25">
      <c r="A11" t="s">
        <v>30</v>
      </c>
      <c r="B11" s="3">
        <v>36659.071690779529</v>
      </c>
      <c r="C11" s="3">
        <v>41370</v>
      </c>
      <c r="D11" s="3">
        <v>31440.86593181235</v>
      </c>
      <c r="E11" s="3">
        <v>69100.704084011624</v>
      </c>
      <c r="F11" s="3">
        <v>29828</v>
      </c>
      <c r="G11" s="3">
        <v>47988.094442563757</v>
      </c>
      <c r="H11" s="3">
        <v>116904.01819424664</v>
      </c>
      <c r="I11" s="3">
        <v>6031053.3274551239</v>
      </c>
      <c r="J11" s="3">
        <v>1726676.5219998294</v>
      </c>
      <c r="K11" s="3">
        <v>154737.24217645251</v>
      </c>
      <c r="L11" s="3">
        <v>154737.24217645251</v>
      </c>
      <c r="M11" s="3">
        <v>149695.93085106384</v>
      </c>
      <c r="N11" s="3">
        <v>116904.01819424664</v>
      </c>
      <c r="O11" s="3">
        <v>116904.01819424664</v>
      </c>
      <c r="P11" s="3">
        <v>116904.01819424664</v>
      </c>
      <c r="Q11" s="3">
        <v>149695.93085106384</v>
      </c>
    </row>
    <row r="12" spans="1:19" x14ac:dyDescent="0.25">
      <c r="A12" t="s">
        <v>31</v>
      </c>
      <c r="B12" s="3">
        <v>45688.808248758367</v>
      </c>
      <c r="C12" s="3">
        <v>51810</v>
      </c>
      <c r="D12" s="3">
        <v>39493.701871315039</v>
      </c>
      <c r="E12" s="3">
        <v>85005.251693502956</v>
      </c>
      <c r="F12" s="3">
        <v>37303</v>
      </c>
      <c r="G12" s="3">
        <v>62682.79691055177</v>
      </c>
      <c r="H12" s="3">
        <v>146643.92003772949</v>
      </c>
      <c r="I12" s="3">
        <v>7623988.0297548193</v>
      </c>
      <c r="J12" s="3">
        <v>2256393.462643845</v>
      </c>
      <c r="K12" s="3">
        <v>286259.87015063019</v>
      </c>
      <c r="L12" s="3">
        <v>286259.87015063019</v>
      </c>
      <c r="M12" s="3">
        <v>212538.51063829788</v>
      </c>
      <c r="N12" s="3">
        <v>146643.92003772949</v>
      </c>
      <c r="O12" s="3">
        <v>146643.92003772949</v>
      </c>
      <c r="P12" s="3">
        <v>146643.92003772949</v>
      </c>
      <c r="Q12" s="3">
        <v>212538.51063829788</v>
      </c>
    </row>
    <row r="13" spans="1:19" x14ac:dyDescent="0.25">
      <c r="A13" t="s">
        <v>63</v>
      </c>
      <c r="B13" s="4">
        <v>12</v>
      </c>
      <c r="C13" s="4">
        <v>12</v>
      </c>
      <c r="D13" s="4">
        <v>12</v>
      </c>
      <c r="E13" s="4">
        <v>12</v>
      </c>
      <c r="F13" s="4">
        <v>12</v>
      </c>
      <c r="G13" s="4">
        <v>1</v>
      </c>
      <c r="H13" s="4">
        <v>1</v>
      </c>
      <c r="I13" s="4">
        <v>10000</v>
      </c>
      <c r="J13" s="4">
        <v>12</v>
      </c>
      <c r="K13" s="4">
        <v>12</v>
      </c>
      <c r="L13" s="4">
        <v>12</v>
      </c>
      <c r="M13" s="4">
        <v>1</v>
      </c>
      <c r="N13" s="3">
        <v>1</v>
      </c>
      <c r="O13" s="4">
        <v>1</v>
      </c>
      <c r="P13" s="3">
        <v>1</v>
      </c>
      <c r="Q13" s="4">
        <v>1</v>
      </c>
    </row>
    <row r="14" spans="1:19" x14ac:dyDescent="0.25">
      <c r="A14" t="s">
        <v>430</v>
      </c>
      <c r="B14" s="4">
        <v>50</v>
      </c>
      <c r="C14" s="4">
        <v>50</v>
      </c>
      <c r="D14" s="4">
        <v>50</v>
      </c>
      <c r="E14" s="4">
        <v>50</v>
      </c>
      <c r="F14" s="4">
        <v>50</v>
      </c>
      <c r="G14" s="4">
        <v>500</v>
      </c>
      <c r="H14" s="4">
        <v>1000</v>
      </c>
      <c r="I14" s="4">
        <v>1</v>
      </c>
      <c r="J14" s="4">
        <v>1000</v>
      </c>
      <c r="K14" s="4">
        <v>50</v>
      </c>
      <c r="L14" s="4">
        <v>50</v>
      </c>
      <c r="M14" s="4">
        <v>1000</v>
      </c>
      <c r="N14" s="3">
        <v>1000</v>
      </c>
      <c r="O14" s="4">
        <v>1000</v>
      </c>
      <c r="P14" s="3">
        <v>1000</v>
      </c>
      <c r="Q14" s="4">
        <v>1000</v>
      </c>
    </row>
    <row r="15" spans="1:19" x14ac:dyDescent="0.25">
      <c r="A15" t="s">
        <v>431</v>
      </c>
      <c r="B15" t="s">
        <v>432</v>
      </c>
      <c r="C15" t="s">
        <v>432</v>
      </c>
      <c r="D15" t="s">
        <v>432</v>
      </c>
      <c r="E15" t="s">
        <v>432</v>
      </c>
      <c r="F15" t="s">
        <v>432</v>
      </c>
      <c r="G15" t="s">
        <v>433</v>
      </c>
      <c r="H15" t="s">
        <v>432</v>
      </c>
      <c r="I15" t="s">
        <v>433</v>
      </c>
      <c r="J15" t="s">
        <v>432</v>
      </c>
      <c r="K15" t="s">
        <v>433</v>
      </c>
      <c r="L15" t="s">
        <v>433</v>
      </c>
      <c r="M15" t="s">
        <v>433</v>
      </c>
      <c r="N15" t="s">
        <v>432</v>
      </c>
      <c r="O15" t="s">
        <v>432</v>
      </c>
      <c r="P15" t="s">
        <v>432</v>
      </c>
      <c r="Q15" t="s">
        <v>433</v>
      </c>
    </row>
    <row r="16" spans="1:19" x14ac:dyDescent="0.25">
      <c r="A16" s="2" t="s">
        <v>455</v>
      </c>
      <c r="B16" s="6" t="s">
        <v>446</v>
      </c>
      <c r="C16" s="6" t="s">
        <v>1045</v>
      </c>
      <c r="D16" s="6" t="s">
        <v>448</v>
      </c>
      <c r="E16" s="6" t="s">
        <v>448</v>
      </c>
      <c r="F16" s="6" t="s">
        <v>449</v>
      </c>
      <c r="G16" s="6" t="s">
        <v>447</v>
      </c>
      <c r="H16" s="6" t="s">
        <v>447</v>
      </c>
      <c r="I16" s="6" t="s">
        <v>454</v>
      </c>
      <c r="J16" s="6" t="s">
        <v>450</v>
      </c>
      <c r="K16" s="6" t="s">
        <v>447</v>
      </c>
      <c r="L16" t="s">
        <v>738</v>
      </c>
      <c r="M16" s="6" t="s">
        <v>447</v>
      </c>
      <c r="N16" s="6" t="s">
        <v>451</v>
      </c>
      <c r="O16" s="6" t="s">
        <v>1046</v>
      </c>
      <c r="P16" s="6" t="s">
        <v>452</v>
      </c>
      <c r="Q16" s="6" t="s">
        <v>453</v>
      </c>
      <c r="R16" s="5"/>
      <c r="S16" s="5"/>
    </row>
    <row r="17" spans="1:17" x14ac:dyDescent="0.25">
      <c r="A17" t="s">
        <v>470</v>
      </c>
      <c r="B17" t="s">
        <v>434</v>
      </c>
      <c r="C17" t="s">
        <v>435</v>
      </c>
      <c r="D17" t="s">
        <v>436</v>
      </c>
      <c r="E17" s="2" t="s">
        <v>437</v>
      </c>
      <c r="F17" t="s">
        <v>438</v>
      </c>
      <c r="G17" t="s">
        <v>12</v>
      </c>
      <c r="H17" t="s">
        <v>12</v>
      </c>
      <c r="I17" t="s">
        <v>442</v>
      </c>
      <c r="J17" t="s">
        <v>443</v>
      </c>
      <c r="K17" t="s">
        <v>11</v>
      </c>
      <c r="L17" t="s">
        <v>444</v>
      </c>
      <c r="M17" t="s">
        <v>12</v>
      </c>
      <c r="N17" t="s">
        <v>445</v>
      </c>
      <c r="O17" t="s">
        <v>439</v>
      </c>
      <c r="P17" t="s">
        <v>440</v>
      </c>
      <c r="Q17" t="s">
        <v>441</v>
      </c>
    </row>
    <row r="18" spans="1:17" x14ac:dyDescent="0.25">
      <c r="A18" t="s">
        <v>456</v>
      </c>
      <c r="B18" t="s">
        <v>469</v>
      </c>
      <c r="C18" t="s">
        <v>463</v>
      </c>
      <c r="D18" t="s">
        <v>464</v>
      </c>
      <c r="E18" t="s">
        <v>461</v>
      </c>
      <c r="F18" t="s">
        <v>465</v>
      </c>
      <c r="G18" t="s">
        <v>457</v>
      </c>
      <c r="H18" t="s">
        <v>457</v>
      </c>
      <c r="I18" t="s">
        <v>467</v>
      </c>
      <c r="J18" t="s">
        <v>466</v>
      </c>
      <c r="K18" t="s">
        <v>457</v>
      </c>
      <c r="L18" t="s">
        <v>468</v>
      </c>
      <c r="M18" t="s">
        <v>457</v>
      </c>
      <c r="N18" t="s">
        <v>462</v>
      </c>
      <c r="O18" t="s">
        <v>460</v>
      </c>
      <c r="P18" t="s">
        <v>459</v>
      </c>
      <c r="Q18" t="s">
        <v>458</v>
      </c>
    </row>
    <row r="19" spans="1:17" x14ac:dyDescent="0.25">
      <c r="A19" t="s">
        <v>550</v>
      </c>
      <c r="G19" t="s">
        <v>2</v>
      </c>
      <c r="I19" s="3"/>
      <c r="K19" t="s">
        <v>1013</v>
      </c>
      <c r="L19" t="s">
        <v>558</v>
      </c>
      <c r="M19" t="s">
        <v>3</v>
      </c>
      <c r="Q19" t="s">
        <v>3</v>
      </c>
    </row>
    <row r="20" spans="1:17" x14ac:dyDescent="0.25">
      <c r="A20" t="s">
        <v>551</v>
      </c>
      <c r="B20" t="s">
        <v>553</v>
      </c>
      <c r="C20" t="s">
        <v>553</v>
      </c>
      <c r="D20" t="s">
        <v>553</v>
      </c>
      <c r="E20" t="s">
        <v>555</v>
      </c>
      <c r="F20" t="s">
        <v>553</v>
      </c>
      <c r="G20" t="s">
        <v>552</v>
      </c>
      <c r="H20" t="s">
        <v>554</v>
      </c>
      <c r="I20" t="s">
        <v>556</v>
      </c>
      <c r="J20" t="s">
        <v>557</v>
      </c>
      <c r="K20" t="s">
        <v>432</v>
      </c>
      <c r="L20" t="s">
        <v>552</v>
      </c>
      <c r="M20" t="s">
        <v>552</v>
      </c>
      <c r="N20" t="s">
        <v>554</v>
      </c>
      <c r="O20" t="s">
        <v>554</v>
      </c>
      <c r="P20" t="s">
        <v>554</v>
      </c>
      <c r="Q20" t="s">
        <v>552</v>
      </c>
    </row>
    <row r="21" spans="1:17" x14ac:dyDescent="0.25">
      <c r="I21" s="3"/>
    </row>
    <row r="23" spans="1:17" x14ac:dyDescent="0.25">
      <c r="I23" s="3"/>
    </row>
    <row r="24" spans="1:17" x14ac:dyDescent="0.25">
      <c r="I24" s="3"/>
    </row>
    <row r="25" spans="1:17" x14ac:dyDescent="0.25">
      <c r="I25" s="3"/>
    </row>
    <row r="26" spans="1:17" x14ac:dyDescent="0.25">
      <c r="I26" s="3"/>
    </row>
    <row r="27" spans="1:17" x14ac:dyDescent="0.25">
      <c r="I27" s="3"/>
    </row>
    <row r="28" spans="1:17" x14ac:dyDescent="0.25">
      <c r="I28" s="3"/>
    </row>
    <row r="29" spans="1:17" x14ac:dyDescent="0.25">
      <c r="I29"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Elections</vt:lpstr>
      <vt:lpstr>features</vt:lpstr>
      <vt:lpstr>Quotas</vt:lpstr>
      <vt:lpstr>Income</vt:lpstr>
    </vt:vector>
  </TitlesOfParts>
  <Company>ETH Zuerich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Fabre  Adrien</dc:creator>
  <cp:lastModifiedBy>reviewer</cp:lastModifiedBy>
  <cp:lastPrinted>2025-02-14T15:34:27Z</cp:lastPrinted>
  <dcterms:created xsi:type="dcterms:W3CDTF">2021-07-28T19:55:14Z</dcterms:created>
  <dcterms:modified xsi:type="dcterms:W3CDTF">2026-03-04T00:39:06Z</dcterms:modified>
</cp:coreProperties>
</file>